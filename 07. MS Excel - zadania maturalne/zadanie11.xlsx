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11.1" sheetId="1" r:id="rId1"/>
    <sheet name="11.2" sheetId="3" r:id="rId2"/>
  </sheets>
  <definedNames>
    <definedName name="_xlnm._FilterDatabase" localSheetId="0" hidden="1">'11.1'!$A$1:$D$205</definedName>
    <definedName name="_xlnm._FilterDatabase" localSheetId="1" hidden="1">'11.2'!$A$1:$D$205</definedName>
    <definedName name="gaz" localSheetId="0">'11.1'!$A$1:$B$205</definedName>
    <definedName name="gaz" localSheetId="1">'11.2'!$A$1:$B$205</definedName>
  </definedNames>
  <calcPr calcId="152511"/>
</workbook>
</file>

<file path=xl/calcChain.xml><?xml version="1.0" encoding="utf-8"?>
<calcChain xmlns="http://schemas.openxmlformats.org/spreadsheetml/2006/main">
  <c r="E2" i="3" l="1"/>
  <c r="H2" i="3" l="1"/>
  <c r="H3" i="3"/>
  <c r="H4" i="3"/>
  <c r="H5" i="3"/>
  <c r="H6" i="3"/>
  <c r="H7" i="3"/>
  <c r="H8" i="3"/>
  <c r="H9" i="3"/>
  <c r="H10" i="3"/>
  <c r="H11" i="3"/>
  <c r="H12" i="3"/>
  <c r="H1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3" i="3"/>
  <c r="D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" i="1"/>
  <c r="D2" i="1" s="1"/>
</calcChain>
</file>

<file path=xl/connections.xml><?xml version="1.0" encoding="utf-8"?>
<connections xmlns="http://schemas.openxmlformats.org/spreadsheetml/2006/main">
  <connection id="1" name="gaz" type="6" refreshedVersion="5" background="1" saveData="1">
    <textPr codePage="852" sourceFile="C:\Users\Uczen\4e mf\Informatyka_4\07. MS Excel - zadania maturalne\gaz.txt" decimal="," thousands=" ">
      <textFields count="2">
        <textField type="DMY"/>
        <textField/>
      </textFields>
    </textPr>
  </connection>
  <connection id="2" name="gaz2" type="6" refreshedVersion="5" background="1" saveData="1">
    <textPr codePage="852" sourceFile="C:\Users\Uczen\4e mf\Informatyka_4\07. MS Excel - zadania maturalne\gaz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<sst xmlns="http://schemas.openxmlformats.org/spreadsheetml/2006/main" count="23" uniqueCount="19">
  <si>
    <t>Data odczytu</t>
  </si>
  <si>
    <t>Odczyt licznika</t>
  </si>
  <si>
    <t>Ile dni</t>
  </si>
  <si>
    <t>Zużycie dobowe</t>
  </si>
  <si>
    <t>Miesiąc</t>
  </si>
  <si>
    <t>Średnia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</si>
  <si>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</si>
  <si>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</si>
  <si>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</si>
  <si>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</si>
  <si>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</si>
  <si>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</si>
  <si>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</si>
  <si>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</si>
  <si>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</si>
  <si>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</si>
  <si>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</si>
  <si>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</si>
  <si>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 xml:space="preserve">Zużycie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</si>
</sst>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14" fontId="0" fillId="0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</a:t>
            </a:r>
            <a:r>
              <a:rPr lang="pl-PL"/>
              <a:t>nie</a:t>
            </a:r>
            <a:r>
              <a:rPr lang="pl-PL" baseline="0"/>
              <a:t> zużycie wg miesięcy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'11.2'!$H$1</c:f>
              <c:strCache>
                <c:ptCount val="1"/>
                <c:pt idx="0">
                  <c:v>Średnia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'11.2'!$G$2:$G$13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'11.2'!$H$2:$H$13</c:f>
              <c:numCache>
                <c:formatCode>General</c:formatCode>
                <c:ptCount val="12"/>
                <c:pt idx="0">
                  <c:v>285.47058823529414</c:v>
                </c:pt>
                <c:pt idx="1">
                  <c:v>292.70588235294116</c:v>
                </c:pt>
                <c:pt idx="2">
                  <c:v>219.23529411764707</c:v>
                </c:pt>
                <c:pt idx="3">
                  <c:v>139.23529411764707</c:v>
                </c:pt>
                <c:pt idx="4">
                  <c:v>129.76470588235293</c:v>
                </c:pt>
                <c:pt idx="5">
                  <c:v>61</c:v>
                </c:pt>
                <c:pt idx="6">
                  <c:v>16.647058823529413</c:v>
                </c:pt>
                <c:pt idx="7">
                  <c:v>15.941176470588236</c:v>
                </c:pt>
                <c:pt idx="8">
                  <c:v>110.70588235294117</c:v>
                </c:pt>
                <c:pt idx="9">
                  <c:v>147.70588235294119</c:v>
                </c:pt>
                <c:pt idx="10">
                  <c:v>197.11764705882354</c:v>
                </c:pt>
                <c:pt idx="11">
                  <c:v>246.29411764705881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319696"/>
        <c:axId val="1621321872"/>
      </c:barChart>
      <c:catAx>
        <c:axId val="162131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1321872"/>
        <c:crosses val="autoZero"/>
        <c:auto val="1"/>
        <c:lblAlgn val="ctr"/>
        <c:lblOffset val="100"/>
        <c:noMultiLvlLbl val="0"/>
      </c:catAx>
      <c:valAx>
        <c:axId val="16213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metry sześcienne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131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14</xdr:row>
      <xdr:rowOff>14287</xdr:rowOff>
    </xdr:from>
    <xdr:to>
      <xdr:col>13</xdr:col>
      <xdr:colOff>314325</xdr:colOff>
      <xdr:row>28</xdr:row>
      <xdr:rowOff>90487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gaz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az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5"/>
  <sheetViews>
    <sheetView workbookViewId="0">
      <selection activeCell="F123" sqref="F123"/>
    </sheetView>
  </sheetViews>
  <sheetFormatPr defaultRowHeight="15" x14ac:dyDescent="0.25"/>
  <cols>
    <col min="1" max="1" width="12.28515625" bestFit="1" customWidth="1"/>
    <col min="2" max="2" width="14.140625" bestFit="1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s="1">
        <v>37287</v>
      </c>
      <c r="B2">
        <v>2283</v>
      </c>
      <c r="C2">
        <f>DAY(A2)</f>
        <v>31</v>
      </c>
      <c r="D2">
        <f>(B2-2083)/C2</f>
        <v>6.4516129032258061</v>
      </c>
    </row>
    <row r="3" spans="1:4" hidden="1" x14ac:dyDescent="0.25">
      <c r="A3" s="1">
        <v>37315</v>
      </c>
      <c r="B3">
        <v>2518</v>
      </c>
      <c r="C3">
        <f t="shared" ref="C3:C66" si="0">DAY(A3)</f>
        <v>28</v>
      </c>
      <c r="D3">
        <f>(B3-B2)/C3</f>
        <v>8.3928571428571423</v>
      </c>
    </row>
    <row r="4" spans="1:4" hidden="1" x14ac:dyDescent="0.25">
      <c r="A4" s="1">
        <v>37346</v>
      </c>
      <c r="B4">
        <v>2696</v>
      </c>
      <c r="C4">
        <f t="shared" si="0"/>
        <v>31</v>
      </c>
      <c r="D4">
        <f t="shared" ref="D4:D67" si="1">(B4-B3)/C4</f>
        <v>5.741935483870968</v>
      </c>
    </row>
    <row r="5" spans="1:4" hidden="1" x14ac:dyDescent="0.25">
      <c r="A5" s="1">
        <v>37376</v>
      </c>
      <c r="B5">
        <v>2857</v>
      </c>
      <c r="C5">
        <f t="shared" si="0"/>
        <v>30</v>
      </c>
      <c r="D5">
        <f t="shared" si="1"/>
        <v>5.3666666666666663</v>
      </c>
    </row>
    <row r="6" spans="1:4" hidden="1" x14ac:dyDescent="0.25">
      <c r="A6" s="1">
        <v>37407</v>
      </c>
      <c r="B6">
        <v>2917</v>
      </c>
      <c r="C6">
        <f t="shared" si="0"/>
        <v>31</v>
      </c>
      <c r="D6">
        <f t="shared" si="1"/>
        <v>1.935483870967742</v>
      </c>
    </row>
    <row r="7" spans="1:4" hidden="1" x14ac:dyDescent="0.25">
      <c r="A7" s="1">
        <v>37437</v>
      </c>
      <c r="B7">
        <v>2952</v>
      </c>
      <c r="C7">
        <f t="shared" si="0"/>
        <v>30</v>
      </c>
      <c r="D7">
        <f t="shared" si="1"/>
        <v>1.1666666666666667</v>
      </c>
    </row>
    <row r="8" spans="1:4" hidden="1" x14ac:dyDescent="0.25">
      <c r="A8" s="1">
        <v>37468</v>
      </c>
      <c r="B8">
        <v>2979</v>
      </c>
      <c r="C8">
        <f t="shared" si="0"/>
        <v>31</v>
      </c>
      <c r="D8">
        <f t="shared" si="1"/>
        <v>0.87096774193548387</v>
      </c>
    </row>
    <row r="9" spans="1:4" hidden="1" x14ac:dyDescent="0.25">
      <c r="A9" s="1">
        <v>37499</v>
      </c>
      <c r="B9">
        <v>3009</v>
      </c>
      <c r="C9">
        <f t="shared" si="0"/>
        <v>31</v>
      </c>
      <c r="D9">
        <f t="shared" si="1"/>
        <v>0.967741935483871</v>
      </c>
    </row>
    <row r="10" spans="1:4" hidden="1" x14ac:dyDescent="0.25">
      <c r="A10" s="1">
        <v>37529</v>
      </c>
      <c r="B10">
        <v>3040</v>
      </c>
      <c r="C10">
        <f t="shared" si="0"/>
        <v>30</v>
      </c>
      <c r="D10">
        <f t="shared" si="1"/>
        <v>1.0333333333333334</v>
      </c>
    </row>
    <row r="11" spans="1:4" hidden="1" x14ac:dyDescent="0.25">
      <c r="A11" s="1">
        <v>37560</v>
      </c>
      <c r="B11">
        <v>3116</v>
      </c>
      <c r="C11">
        <f t="shared" si="0"/>
        <v>31</v>
      </c>
      <c r="D11">
        <f t="shared" si="1"/>
        <v>2.4516129032258065</v>
      </c>
    </row>
    <row r="12" spans="1:4" hidden="1" x14ac:dyDescent="0.25">
      <c r="A12" s="1">
        <v>37590</v>
      </c>
      <c r="B12">
        <v>3222</v>
      </c>
      <c r="C12">
        <f t="shared" si="0"/>
        <v>30</v>
      </c>
      <c r="D12">
        <f t="shared" si="1"/>
        <v>3.5333333333333332</v>
      </c>
    </row>
    <row r="13" spans="1:4" hidden="1" x14ac:dyDescent="0.25">
      <c r="A13" s="1">
        <v>37621</v>
      </c>
      <c r="B13">
        <v>3393</v>
      </c>
      <c r="C13">
        <f t="shared" si="0"/>
        <v>31</v>
      </c>
      <c r="D13">
        <f t="shared" si="1"/>
        <v>5.5161290322580649</v>
      </c>
    </row>
    <row r="14" spans="1:4" hidden="1" x14ac:dyDescent="0.25">
      <c r="A14" s="1">
        <v>37652</v>
      </c>
      <c r="B14">
        <v>3613</v>
      </c>
      <c r="C14">
        <f t="shared" si="0"/>
        <v>31</v>
      </c>
      <c r="D14">
        <f t="shared" si="1"/>
        <v>7.096774193548387</v>
      </c>
    </row>
    <row r="15" spans="1:4" hidden="1" x14ac:dyDescent="0.25">
      <c r="A15" s="1">
        <v>37680</v>
      </c>
      <c r="B15">
        <v>3891</v>
      </c>
      <c r="C15">
        <f t="shared" si="0"/>
        <v>28</v>
      </c>
      <c r="D15">
        <f t="shared" si="1"/>
        <v>9.9285714285714288</v>
      </c>
    </row>
    <row r="16" spans="1:4" hidden="1" x14ac:dyDescent="0.25">
      <c r="A16" s="1">
        <v>37711</v>
      </c>
      <c r="B16">
        <v>4151</v>
      </c>
      <c r="C16">
        <f t="shared" si="0"/>
        <v>31</v>
      </c>
      <c r="D16">
        <f t="shared" si="1"/>
        <v>8.387096774193548</v>
      </c>
    </row>
    <row r="17" spans="1:4" hidden="1" x14ac:dyDescent="0.25">
      <c r="A17" s="1">
        <v>37741</v>
      </c>
      <c r="B17">
        <v>4401</v>
      </c>
      <c r="C17">
        <f t="shared" si="0"/>
        <v>30</v>
      </c>
      <c r="D17">
        <f t="shared" si="1"/>
        <v>8.3333333333333339</v>
      </c>
    </row>
    <row r="18" spans="1:4" hidden="1" x14ac:dyDescent="0.25">
      <c r="A18" s="1">
        <v>37772</v>
      </c>
      <c r="B18">
        <v>4553</v>
      </c>
      <c r="C18">
        <f t="shared" si="0"/>
        <v>31</v>
      </c>
      <c r="D18">
        <f t="shared" si="1"/>
        <v>4.903225806451613</v>
      </c>
    </row>
    <row r="19" spans="1:4" hidden="1" x14ac:dyDescent="0.25">
      <c r="A19" s="1">
        <v>37802</v>
      </c>
      <c r="B19">
        <v>4639</v>
      </c>
      <c r="C19">
        <f t="shared" si="0"/>
        <v>30</v>
      </c>
      <c r="D19">
        <f t="shared" si="1"/>
        <v>2.8666666666666667</v>
      </c>
    </row>
    <row r="20" spans="1:4" hidden="1" x14ac:dyDescent="0.25">
      <c r="A20" s="1">
        <v>37833</v>
      </c>
      <c r="B20">
        <v>4654</v>
      </c>
      <c r="C20">
        <f t="shared" si="0"/>
        <v>31</v>
      </c>
      <c r="D20">
        <f t="shared" si="1"/>
        <v>0.4838709677419355</v>
      </c>
    </row>
    <row r="21" spans="1:4" hidden="1" x14ac:dyDescent="0.25">
      <c r="A21" s="1">
        <v>37864</v>
      </c>
      <c r="B21">
        <v>4669</v>
      </c>
      <c r="C21">
        <f t="shared" si="0"/>
        <v>31</v>
      </c>
      <c r="D21">
        <f t="shared" si="1"/>
        <v>0.4838709677419355</v>
      </c>
    </row>
    <row r="22" spans="1:4" hidden="1" x14ac:dyDescent="0.25">
      <c r="A22" s="1">
        <v>37894</v>
      </c>
      <c r="B22">
        <v>4819</v>
      </c>
      <c r="C22">
        <f t="shared" si="0"/>
        <v>30</v>
      </c>
      <c r="D22">
        <f t="shared" si="1"/>
        <v>5</v>
      </c>
    </row>
    <row r="23" spans="1:4" hidden="1" x14ac:dyDescent="0.25">
      <c r="A23" s="1">
        <v>37925</v>
      </c>
      <c r="B23">
        <v>4976</v>
      </c>
      <c r="C23">
        <f t="shared" si="0"/>
        <v>31</v>
      </c>
      <c r="D23">
        <f t="shared" si="1"/>
        <v>5.064516129032258</v>
      </c>
    </row>
    <row r="24" spans="1:4" hidden="1" x14ac:dyDescent="0.25">
      <c r="A24" s="1">
        <v>37955</v>
      </c>
      <c r="B24">
        <v>5078</v>
      </c>
      <c r="C24">
        <f t="shared" si="0"/>
        <v>30</v>
      </c>
      <c r="D24">
        <f t="shared" si="1"/>
        <v>3.4</v>
      </c>
    </row>
    <row r="25" spans="1:4" hidden="1" x14ac:dyDescent="0.25">
      <c r="A25" s="1">
        <v>37986</v>
      </c>
      <c r="B25">
        <v>5260</v>
      </c>
      <c r="C25">
        <f t="shared" si="0"/>
        <v>31</v>
      </c>
      <c r="D25">
        <f t="shared" si="1"/>
        <v>5.870967741935484</v>
      </c>
    </row>
    <row r="26" spans="1:4" hidden="1" x14ac:dyDescent="0.25">
      <c r="A26" s="1">
        <v>38017</v>
      </c>
      <c r="B26">
        <v>5508</v>
      </c>
      <c r="C26">
        <f t="shared" si="0"/>
        <v>31</v>
      </c>
      <c r="D26">
        <f t="shared" si="1"/>
        <v>8</v>
      </c>
    </row>
    <row r="27" spans="1:4" hidden="1" x14ac:dyDescent="0.25">
      <c r="A27" s="1">
        <v>38045</v>
      </c>
      <c r="B27">
        <v>5754</v>
      </c>
      <c r="C27">
        <f t="shared" si="0"/>
        <v>28</v>
      </c>
      <c r="D27">
        <f t="shared" si="1"/>
        <v>8.7857142857142865</v>
      </c>
    </row>
    <row r="28" spans="1:4" hidden="1" x14ac:dyDescent="0.25">
      <c r="A28" s="1">
        <v>38077</v>
      </c>
      <c r="B28">
        <v>5945</v>
      </c>
      <c r="C28">
        <f t="shared" si="0"/>
        <v>31</v>
      </c>
      <c r="D28">
        <f t="shared" si="1"/>
        <v>6.161290322580645</v>
      </c>
    </row>
    <row r="29" spans="1:4" hidden="1" x14ac:dyDescent="0.25">
      <c r="A29" s="1">
        <v>38107</v>
      </c>
      <c r="B29">
        <v>6050</v>
      </c>
      <c r="C29">
        <f t="shared" si="0"/>
        <v>30</v>
      </c>
      <c r="D29">
        <f t="shared" si="1"/>
        <v>3.5</v>
      </c>
    </row>
    <row r="30" spans="1:4" hidden="1" x14ac:dyDescent="0.25">
      <c r="A30" s="1">
        <v>38138</v>
      </c>
      <c r="B30">
        <v>6146</v>
      </c>
      <c r="C30">
        <f t="shared" si="0"/>
        <v>31</v>
      </c>
      <c r="D30">
        <f t="shared" si="1"/>
        <v>3.096774193548387</v>
      </c>
    </row>
    <row r="31" spans="1:4" hidden="1" x14ac:dyDescent="0.25">
      <c r="A31" s="1">
        <v>38168</v>
      </c>
      <c r="B31">
        <v>6173</v>
      </c>
      <c r="C31">
        <f t="shared" si="0"/>
        <v>30</v>
      </c>
      <c r="D31">
        <f t="shared" si="1"/>
        <v>0.9</v>
      </c>
    </row>
    <row r="32" spans="1:4" hidden="1" x14ac:dyDescent="0.25">
      <c r="A32" s="1">
        <v>38199</v>
      </c>
      <c r="B32">
        <v>6183</v>
      </c>
      <c r="C32">
        <f t="shared" si="0"/>
        <v>31</v>
      </c>
      <c r="D32">
        <f t="shared" si="1"/>
        <v>0.32258064516129031</v>
      </c>
    </row>
    <row r="33" spans="1:4" hidden="1" x14ac:dyDescent="0.25">
      <c r="A33" s="1">
        <v>38230</v>
      </c>
      <c r="B33">
        <v>6195</v>
      </c>
      <c r="C33">
        <f t="shared" si="0"/>
        <v>31</v>
      </c>
      <c r="D33">
        <f t="shared" si="1"/>
        <v>0.38709677419354838</v>
      </c>
    </row>
    <row r="34" spans="1:4" hidden="1" x14ac:dyDescent="0.25">
      <c r="A34" s="1">
        <v>38260</v>
      </c>
      <c r="B34">
        <v>6304</v>
      </c>
      <c r="C34">
        <f t="shared" si="0"/>
        <v>30</v>
      </c>
      <c r="D34">
        <f t="shared" si="1"/>
        <v>3.6333333333333333</v>
      </c>
    </row>
    <row r="35" spans="1:4" hidden="1" x14ac:dyDescent="0.25">
      <c r="A35" s="1">
        <v>38291</v>
      </c>
      <c r="B35">
        <v>6459</v>
      </c>
      <c r="C35">
        <f t="shared" si="0"/>
        <v>31</v>
      </c>
      <c r="D35">
        <f t="shared" si="1"/>
        <v>5</v>
      </c>
    </row>
    <row r="36" spans="1:4" hidden="1" x14ac:dyDescent="0.25">
      <c r="A36" s="1">
        <v>38321</v>
      </c>
      <c r="B36">
        <v>6737</v>
      </c>
      <c r="C36">
        <f t="shared" si="0"/>
        <v>30</v>
      </c>
      <c r="D36">
        <f t="shared" si="1"/>
        <v>9.2666666666666675</v>
      </c>
    </row>
    <row r="37" spans="1:4" hidden="1" x14ac:dyDescent="0.25">
      <c r="A37" s="1">
        <v>38352</v>
      </c>
      <c r="B37">
        <v>6997</v>
      </c>
      <c r="C37">
        <f t="shared" si="0"/>
        <v>31</v>
      </c>
      <c r="D37">
        <f t="shared" si="1"/>
        <v>8.387096774193548</v>
      </c>
    </row>
    <row r="38" spans="1:4" hidden="1" x14ac:dyDescent="0.25">
      <c r="A38" s="1">
        <v>38383</v>
      </c>
      <c r="B38">
        <v>7247</v>
      </c>
      <c r="C38">
        <f t="shared" si="0"/>
        <v>31</v>
      </c>
      <c r="D38">
        <f t="shared" si="1"/>
        <v>8.064516129032258</v>
      </c>
    </row>
    <row r="39" spans="1:4" hidden="1" x14ac:dyDescent="0.25">
      <c r="A39" s="1">
        <v>38411</v>
      </c>
      <c r="B39">
        <v>7399</v>
      </c>
      <c r="C39">
        <f t="shared" si="0"/>
        <v>28</v>
      </c>
      <c r="D39">
        <f t="shared" si="1"/>
        <v>5.4285714285714288</v>
      </c>
    </row>
    <row r="40" spans="1:4" hidden="1" x14ac:dyDescent="0.25">
      <c r="A40" s="1">
        <v>38442</v>
      </c>
      <c r="B40">
        <v>7584</v>
      </c>
      <c r="C40">
        <f t="shared" si="0"/>
        <v>31</v>
      </c>
      <c r="D40">
        <f t="shared" si="1"/>
        <v>5.967741935483871</v>
      </c>
    </row>
    <row r="41" spans="1:4" hidden="1" x14ac:dyDescent="0.25">
      <c r="A41" s="1">
        <v>38472</v>
      </c>
      <c r="B41">
        <v>7745</v>
      </c>
      <c r="C41">
        <f t="shared" si="0"/>
        <v>30</v>
      </c>
      <c r="D41">
        <f t="shared" si="1"/>
        <v>5.3666666666666663</v>
      </c>
    </row>
    <row r="42" spans="1:4" hidden="1" x14ac:dyDescent="0.25">
      <c r="A42" s="1">
        <v>38503</v>
      </c>
      <c r="B42">
        <v>7935</v>
      </c>
      <c r="C42">
        <f t="shared" si="0"/>
        <v>31</v>
      </c>
      <c r="D42">
        <f t="shared" si="1"/>
        <v>6.129032258064516</v>
      </c>
    </row>
    <row r="43" spans="1:4" hidden="1" x14ac:dyDescent="0.25">
      <c r="A43" s="1">
        <v>38533</v>
      </c>
      <c r="B43">
        <v>8043</v>
      </c>
      <c r="C43">
        <f t="shared" si="0"/>
        <v>30</v>
      </c>
      <c r="D43">
        <f t="shared" si="1"/>
        <v>3.6</v>
      </c>
    </row>
    <row r="44" spans="1:4" hidden="1" x14ac:dyDescent="0.25">
      <c r="A44" s="1">
        <v>38564</v>
      </c>
      <c r="B44">
        <v>8062</v>
      </c>
      <c r="C44">
        <f t="shared" si="0"/>
        <v>31</v>
      </c>
      <c r="D44">
        <f t="shared" si="1"/>
        <v>0.61290322580645162</v>
      </c>
    </row>
    <row r="45" spans="1:4" hidden="1" x14ac:dyDescent="0.25">
      <c r="A45" s="1">
        <v>38595</v>
      </c>
      <c r="B45">
        <v>8081</v>
      </c>
      <c r="C45">
        <f t="shared" si="0"/>
        <v>31</v>
      </c>
      <c r="D45">
        <f t="shared" si="1"/>
        <v>0.61290322580645162</v>
      </c>
    </row>
    <row r="46" spans="1:4" hidden="1" x14ac:dyDescent="0.25">
      <c r="A46" s="1">
        <v>38625</v>
      </c>
      <c r="B46">
        <v>8269</v>
      </c>
      <c r="C46">
        <f t="shared" si="0"/>
        <v>30</v>
      </c>
      <c r="D46">
        <f t="shared" si="1"/>
        <v>6.2666666666666666</v>
      </c>
    </row>
    <row r="47" spans="1:4" hidden="1" x14ac:dyDescent="0.25">
      <c r="A47" s="1">
        <v>38656</v>
      </c>
      <c r="B47">
        <v>8465</v>
      </c>
      <c r="C47">
        <f t="shared" si="0"/>
        <v>31</v>
      </c>
      <c r="D47">
        <f t="shared" si="1"/>
        <v>6.32258064516129</v>
      </c>
    </row>
    <row r="48" spans="1:4" hidden="1" x14ac:dyDescent="0.25">
      <c r="A48" s="1">
        <v>38686</v>
      </c>
      <c r="B48">
        <v>8592</v>
      </c>
      <c r="C48">
        <f t="shared" si="0"/>
        <v>30</v>
      </c>
      <c r="D48">
        <f t="shared" si="1"/>
        <v>4.2333333333333334</v>
      </c>
    </row>
    <row r="49" spans="1:4" hidden="1" x14ac:dyDescent="0.25">
      <c r="A49" s="1">
        <v>38717</v>
      </c>
      <c r="B49">
        <v>8819</v>
      </c>
      <c r="C49">
        <f t="shared" si="0"/>
        <v>31</v>
      </c>
      <c r="D49">
        <f t="shared" si="1"/>
        <v>7.32258064516129</v>
      </c>
    </row>
    <row r="50" spans="1:4" hidden="1" x14ac:dyDescent="0.25">
      <c r="A50" s="1">
        <v>38748</v>
      </c>
      <c r="B50">
        <v>9129</v>
      </c>
      <c r="C50">
        <f t="shared" si="0"/>
        <v>31</v>
      </c>
      <c r="D50">
        <f t="shared" si="1"/>
        <v>10</v>
      </c>
    </row>
    <row r="51" spans="1:4" hidden="1" x14ac:dyDescent="0.25">
      <c r="A51" s="1">
        <v>38776</v>
      </c>
      <c r="B51">
        <v>9424</v>
      </c>
      <c r="C51">
        <f t="shared" si="0"/>
        <v>28</v>
      </c>
      <c r="D51">
        <f t="shared" si="1"/>
        <v>10.535714285714286</v>
      </c>
    </row>
    <row r="52" spans="1:4" hidden="1" x14ac:dyDescent="0.25">
      <c r="A52" s="1">
        <v>38807</v>
      </c>
      <c r="B52">
        <v>9662</v>
      </c>
      <c r="C52">
        <f t="shared" si="0"/>
        <v>31</v>
      </c>
      <c r="D52">
        <f t="shared" si="1"/>
        <v>7.67741935483871</v>
      </c>
    </row>
    <row r="53" spans="1:4" hidden="1" x14ac:dyDescent="0.25">
      <c r="A53" s="1">
        <v>38837</v>
      </c>
      <c r="B53">
        <v>9778</v>
      </c>
      <c r="C53">
        <f t="shared" si="0"/>
        <v>30</v>
      </c>
      <c r="D53">
        <f t="shared" si="1"/>
        <v>3.8666666666666667</v>
      </c>
    </row>
    <row r="54" spans="1:4" hidden="1" x14ac:dyDescent="0.25">
      <c r="A54" s="1">
        <v>38868</v>
      </c>
      <c r="B54">
        <v>9884</v>
      </c>
      <c r="C54">
        <f t="shared" si="0"/>
        <v>31</v>
      </c>
      <c r="D54">
        <f t="shared" si="1"/>
        <v>3.4193548387096775</v>
      </c>
    </row>
    <row r="55" spans="1:4" hidden="1" x14ac:dyDescent="0.25">
      <c r="A55" s="1">
        <v>38898</v>
      </c>
      <c r="B55">
        <v>9914</v>
      </c>
      <c r="C55">
        <f t="shared" si="0"/>
        <v>30</v>
      </c>
      <c r="D55">
        <f t="shared" si="1"/>
        <v>1</v>
      </c>
    </row>
    <row r="56" spans="1:4" hidden="1" x14ac:dyDescent="0.25">
      <c r="A56" s="1">
        <v>38929</v>
      </c>
      <c r="B56">
        <v>9925</v>
      </c>
      <c r="C56">
        <f t="shared" si="0"/>
        <v>31</v>
      </c>
      <c r="D56">
        <f t="shared" si="1"/>
        <v>0.35483870967741937</v>
      </c>
    </row>
    <row r="57" spans="1:4" hidden="1" x14ac:dyDescent="0.25">
      <c r="A57" s="1">
        <v>38960</v>
      </c>
      <c r="B57">
        <v>9938</v>
      </c>
      <c r="C57">
        <f t="shared" si="0"/>
        <v>31</v>
      </c>
      <c r="D57">
        <f t="shared" si="1"/>
        <v>0.41935483870967744</v>
      </c>
    </row>
    <row r="58" spans="1:4" hidden="1" x14ac:dyDescent="0.25">
      <c r="A58" s="1">
        <v>38990</v>
      </c>
      <c r="B58">
        <v>10059</v>
      </c>
      <c r="C58">
        <f t="shared" si="0"/>
        <v>30</v>
      </c>
      <c r="D58">
        <f t="shared" si="1"/>
        <v>4.0333333333333332</v>
      </c>
    </row>
    <row r="59" spans="1:4" hidden="1" x14ac:dyDescent="0.25">
      <c r="A59" s="1">
        <v>39021</v>
      </c>
      <c r="B59">
        <v>10211</v>
      </c>
      <c r="C59">
        <f t="shared" si="0"/>
        <v>31</v>
      </c>
      <c r="D59">
        <f t="shared" si="1"/>
        <v>4.903225806451613</v>
      </c>
    </row>
    <row r="60" spans="1:4" hidden="1" x14ac:dyDescent="0.25">
      <c r="A60" s="1">
        <v>39051</v>
      </c>
      <c r="B60">
        <v>10486</v>
      </c>
      <c r="C60">
        <f t="shared" si="0"/>
        <v>30</v>
      </c>
      <c r="D60">
        <f t="shared" si="1"/>
        <v>9.1666666666666661</v>
      </c>
    </row>
    <row r="61" spans="1:4" hidden="1" x14ac:dyDescent="0.25">
      <c r="A61" s="1">
        <v>39082</v>
      </c>
      <c r="B61">
        <v>10742</v>
      </c>
      <c r="C61">
        <f t="shared" si="0"/>
        <v>31</v>
      </c>
      <c r="D61">
        <f t="shared" si="1"/>
        <v>8.258064516129032</v>
      </c>
    </row>
    <row r="62" spans="1:4" hidden="1" x14ac:dyDescent="0.25">
      <c r="A62" s="1">
        <v>39113</v>
      </c>
      <c r="B62">
        <v>10988</v>
      </c>
      <c r="C62">
        <f t="shared" si="0"/>
        <v>31</v>
      </c>
      <c r="D62">
        <f t="shared" si="1"/>
        <v>7.935483870967742</v>
      </c>
    </row>
    <row r="63" spans="1:4" hidden="1" x14ac:dyDescent="0.25">
      <c r="A63" s="1">
        <v>39141</v>
      </c>
      <c r="B63">
        <v>11138</v>
      </c>
      <c r="C63">
        <f t="shared" si="0"/>
        <v>28</v>
      </c>
      <c r="D63">
        <f t="shared" si="1"/>
        <v>5.3571428571428568</v>
      </c>
    </row>
    <row r="64" spans="1:4" hidden="1" x14ac:dyDescent="0.25">
      <c r="A64" s="1">
        <v>39172</v>
      </c>
      <c r="B64">
        <v>11321</v>
      </c>
      <c r="C64">
        <f t="shared" si="0"/>
        <v>31</v>
      </c>
      <c r="D64">
        <f t="shared" si="1"/>
        <v>5.903225806451613</v>
      </c>
    </row>
    <row r="65" spans="1:4" hidden="1" x14ac:dyDescent="0.25">
      <c r="A65" s="1">
        <v>39202</v>
      </c>
      <c r="B65">
        <v>11481</v>
      </c>
      <c r="C65">
        <f t="shared" si="0"/>
        <v>30</v>
      </c>
      <c r="D65">
        <f t="shared" si="1"/>
        <v>5.333333333333333</v>
      </c>
    </row>
    <row r="66" spans="1:4" hidden="1" x14ac:dyDescent="0.25">
      <c r="A66" s="1">
        <v>39233</v>
      </c>
      <c r="B66">
        <v>11669</v>
      </c>
      <c r="C66">
        <f t="shared" si="0"/>
        <v>31</v>
      </c>
      <c r="D66">
        <f t="shared" si="1"/>
        <v>6.064516129032258</v>
      </c>
    </row>
    <row r="67" spans="1:4" hidden="1" x14ac:dyDescent="0.25">
      <c r="A67" s="1">
        <v>39263</v>
      </c>
      <c r="B67">
        <v>11776</v>
      </c>
      <c r="C67">
        <f t="shared" ref="C67:C130" si="2">DAY(A67)</f>
        <v>30</v>
      </c>
      <c r="D67">
        <f t="shared" si="1"/>
        <v>3.5666666666666669</v>
      </c>
    </row>
    <row r="68" spans="1:4" hidden="1" x14ac:dyDescent="0.25">
      <c r="A68" s="1">
        <v>39294</v>
      </c>
      <c r="B68">
        <v>11795</v>
      </c>
      <c r="C68">
        <f t="shared" si="2"/>
        <v>31</v>
      </c>
      <c r="D68">
        <f t="shared" ref="D68:D131" si="3">(B68-B67)/C68</f>
        <v>0.61290322580645162</v>
      </c>
    </row>
    <row r="69" spans="1:4" hidden="1" x14ac:dyDescent="0.25">
      <c r="A69" s="1">
        <v>39325</v>
      </c>
      <c r="B69">
        <v>11814</v>
      </c>
      <c r="C69">
        <f t="shared" si="2"/>
        <v>31</v>
      </c>
      <c r="D69">
        <f t="shared" si="3"/>
        <v>0.61290322580645162</v>
      </c>
    </row>
    <row r="70" spans="1:4" hidden="1" x14ac:dyDescent="0.25">
      <c r="A70" s="1">
        <v>39355</v>
      </c>
      <c r="B70">
        <v>11901</v>
      </c>
      <c r="C70">
        <f t="shared" si="2"/>
        <v>30</v>
      </c>
      <c r="D70">
        <f t="shared" si="3"/>
        <v>2.9</v>
      </c>
    </row>
    <row r="71" spans="1:4" hidden="1" x14ac:dyDescent="0.25">
      <c r="A71" s="1">
        <v>39386</v>
      </c>
      <c r="B71">
        <v>12044</v>
      </c>
      <c r="C71">
        <f t="shared" si="2"/>
        <v>31</v>
      </c>
      <c r="D71">
        <f t="shared" si="3"/>
        <v>4.612903225806452</v>
      </c>
    </row>
    <row r="72" spans="1:4" hidden="1" x14ac:dyDescent="0.25">
      <c r="A72" s="1">
        <v>39416</v>
      </c>
      <c r="B72">
        <v>12170</v>
      </c>
      <c r="C72">
        <f t="shared" si="2"/>
        <v>30</v>
      </c>
      <c r="D72">
        <f t="shared" si="3"/>
        <v>4.2</v>
      </c>
    </row>
    <row r="73" spans="1:4" hidden="1" x14ac:dyDescent="0.25">
      <c r="A73" s="1">
        <v>39447</v>
      </c>
      <c r="B73">
        <v>12395</v>
      </c>
      <c r="C73">
        <f t="shared" si="2"/>
        <v>31</v>
      </c>
      <c r="D73">
        <f t="shared" si="3"/>
        <v>7.258064516129032</v>
      </c>
    </row>
    <row r="74" spans="1:4" hidden="1" x14ac:dyDescent="0.25">
      <c r="A74" s="1">
        <v>39478</v>
      </c>
      <c r="B74">
        <v>12702</v>
      </c>
      <c r="C74">
        <f t="shared" si="2"/>
        <v>31</v>
      </c>
      <c r="D74">
        <f t="shared" si="3"/>
        <v>9.9032258064516121</v>
      </c>
    </row>
    <row r="75" spans="1:4" hidden="1" x14ac:dyDescent="0.25">
      <c r="A75" s="1">
        <v>39506</v>
      </c>
      <c r="B75">
        <v>13025</v>
      </c>
      <c r="C75">
        <f t="shared" si="2"/>
        <v>28</v>
      </c>
      <c r="D75">
        <f t="shared" si="3"/>
        <v>11.535714285714286</v>
      </c>
    </row>
    <row r="76" spans="1:4" hidden="1" x14ac:dyDescent="0.25">
      <c r="A76" s="1">
        <v>39538</v>
      </c>
      <c r="B76">
        <v>13261</v>
      </c>
      <c r="C76">
        <f t="shared" si="2"/>
        <v>31</v>
      </c>
      <c r="D76">
        <f t="shared" si="3"/>
        <v>7.612903225806452</v>
      </c>
    </row>
    <row r="77" spans="1:4" hidden="1" x14ac:dyDescent="0.25">
      <c r="A77" s="1">
        <v>39568</v>
      </c>
      <c r="B77">
        <v>13376</v>
      </c>
      <c r="C77">
        <f t="shared" si="2"/>
        <v>30</v>
      </c>
      <c r="D77">
        <f t="shared" si="3"/>
        <v>3.8333333333333335</v>
      </c>
    </row>
    <row r="78" spans="1:4" hidden="1" x14ac:dyDescent="0.25">
      <c r="A78" s="1">
        <v>39599</v>
      </c>
      <c r="B78">
        <v>13478</v>
      </c>
      <c r="C78">
        <f t="shared" si="2"/>
        <v>31</v>
      </c>
      <c r="D78">
        <f t="shared" si="3"/>
        <v>3.2903225806451615</v>
      </c>
    </row>
    <row r="79" spans="1:4" hidden="1" x14ac:dyDescent="0.25">
      <c r="A79" s="1">
        <v>39629</v>
      </c>
      <c r="B79">
        <v>13506</v>
      </c>
      <c r="C79">
        <f t="shared" si="2"/>
        <v>30</v>
      </c>
      <c r="D79">
        <f t="shared" si="3"/>
        <v>0.93333333333333335</v>
      </c>
    </row>
    <row r="80" spans="1:4" hidden="1" x14ac:dyDescent="0.25">
      <c r="A80" s="1">
        <v>39660</v>
      </c>
      <c r="B80">
        <v>13516</v>
      </c>
      <c r="C80">
        <f t="shared" si="2"/>
        <v>31</v>
      </c>
      <c r="D80">
        <f t="shared" si="3"/>
        <v>0.32258064516129031</v>
      </c>
    </row>
    <row r="81" spans="1:4" hidden="1" x14ac:dyDescent="0.25">
      <c r="A81" s="1">
        <v>39691</v>
      </c>
      <c r="B81">
        <v>13529</v>
      </c>
      <c r="C81">
        <f t="shared" si="2"/>
        <v>31</v>
      </c>
      <c r="D81">
        <f t="shared" si="3"/>
        <v>0.41935483870967744</v>
      </c>
    </row>
    <row r="82" spans="1:4" hidden="1" x14ac:dyDescent="0.25">
      <c r="A82" s="1">
        <v>39721</v>
      </c>
      <c r="B82">
        <v>13645</v>
      </c>
      <c r="C82">
        <f t="shared" si="2"/>
        <v>30</v>
      </c>
      <c r="D82">
        <f t="shared" si="3"/>
        <v>3.8666666666666667</v>
      </c>
    </row>
    <row r="83" spans="1:4" hidden="1" x14ac:dyDescent="0.25">
      <c r="A83" s="1">
        <v>39752</v>
      </c>
      <c r="B83">
        <v>13791</v>
      </c>
      <c r="C83">
        <f t="shared" si="2"/>
        <v>31</v>
      </c>
      <c r="D83">
        <f t="shared" si="3"/>
        <v>4.709677419354839</v>
      </c>
    </row>
    <row r="84" spans="1:4" hidden="1" x14ac:dyDescent="0.25">
      <c r="A84" s="1">
        <v>39782</v>
      </c>
      <c r="B84">
        <v>14055</v>
      </c>
      <c r="C84">
        <f t="shared" si="2"/>
        <v>30</v>
      </c>
      <c r="D84">
        <f t="shared" si="3"/>
        <v>8.8000000000000007</v>
      </c>
    </row>
    <row r="85" spans="1:4" hidden="1" x14ac:dyDescent="0.25">
      <c r="A85" s="1">
        <v>39813</v>
      </c>
      <c r="B85">
        <v>14301</v>
      </c>
      <c r="C85">
        <f t="shared" si="2"/>
        <v>31</v>
      </c>
      <c r="D85">
        <f t="shared" si="3"/>
        <v>7.935483870967742</v>
      </c>
    </row>
    <row r="86" spans="1:4" hidden="1" x14ac:dyDescent="0.25">
      <c r="A86" s="1">
        <v>39844</v>
      </c>
      <c r="B86">
        <v>14537</v>
      </c>
      <c r="C86">
        <f t="shared" si="2"/>
        <v>31</v>
      </c>
      <c r="D86">
        <f t="shared" si="3"/>
        <v>7.612903225806452</v>
      </c>
    </row>
    <row r="87" spans="1:4" hidden="1" x14ac:dyDescent="0.25">
      <c r="A87" s="1">
        <v>39872</v>
      </c>
      <c r="B87">
        <v>14827</v>
      </c>
      <c r="C87">
        <f t="shared" si="2"/>
        <v>28</v>
      </c>
      <c r="D87">
        <f t="shared" si="3"/>
        <v>10.357142857142858</v>
      </c>
    </row>
    <row r="88" spans="1:4" hidden="1" x14ac:dyDescent="0.25">
      <c r="A88" s="1">
        <v>39903</v>
      </c>
      <c r="B88">
        <v>15002</v>
      </c>
      <c r="C88">
        <f t="shared" si="2"/>
        <v>31</v>
      </c>
      <c r="D88">
        <f t="shared" si="3"/>
        <v>5.645161290322581</v>
      </c>
    </row>
    <row r="89" spans="1:4" hidden="1" x14ac:dyDescent="0.25">
      <c r="A89" s="1">
        <v>39933</v>
      </c>
      <c r="B89">
        <v>15155</v>
      </c>
      <c r="C89">
        <f t="shared" si="2"/>
        <v>30</v>
      </c>
      <c r="D89">
        <f t="shared" si="3"/>
        <v>5.0999999999999996</v>
      </c>
    </row>
    <row r="90" spans="1:4" hidden="1" x14ac:dyDescent="0.25">
      <c r="A90" s="1">
        <v>39964</v>
      </c>
      <c r="B90">
        <v>15335</v>
      </c>
      <c r="C90">
        <f t="shared" si="2"/>
        <v>31</v>
      </c>
      <c r="D90">
        <f t="shared" si="3"/>
        <v>5.806451612903226</v>
      </c>
    </row>
    <row r="91" spans="1:4" hidden="1" x14ac:dyDescent="0.25">
      <c r="A91" s="1">
        <v>39994</v>
      </c>
      <c r="B91">
        <v>15437</v>
      </c>
      <c r="C91">
        <f t="shared" si="2"/>
        <v>30</v>
      </c>
      <c r="D91">
        <f t="shared" si="3"/>
        <v>3.4</v>
      </c>
    </row>
    <row r="92" spans="1:4" hidden="1" x14ac:dyDescent="0.25">
      <c r="A92" s="1">
        <v>40025</v>
      </c>
      <c r="B92">
        <v>15455</v>
      </c>
      <c r="C92">
        <f t="shared" si="2"/>
        <v>31</v>
      </c>
      <c r="D92">
        <f t="shared" si="3"/>
        <v>0.58064516129032262</v>
      </c>
    </row>
    <row r="93" spans="1:4" hidden="1" x14ac:dyDescent="0.25">
      <c r="A93" s="1">
        <v>40056</v>
      </c>
      <c r="B93">
        <v>15474</v>
      </c>
      <c r="C93">
        <f t="shared" si="2"/>
        <v>31</v>
      </c>
      <c r="D93">
        <f t="shared" si="3"/>
        <v>0.61290322580645162</v>
      </c>
    </row>
    <row r="94" spans="1:4" hidden="1" x14ac:dyDescent="0.25">
      <c r="A94" s="1">
        <v>40086</v>
      </c>
      <c r="B94">
        <v>15557</v>
      </c>
      <c r="C94">
        <f t="shared" si="2"/>
        <v>30</v>
      </c>
      <c r="D94">
        <f t="shared" si="3"/>
        <v>2.7666666666666666</v>
      </c>
    </row>
    <row r="95" spans="1:4" hidden="1" x14ac:dyDescent="0.25">
      <c r="A95" s="1">
        <v>40117</v>
      </c>
      <c r="B95">
        <v>15694</v>
      </c>
      <c r="C95">
        <f t="shared" si="2"/>
        <v>31</v>
      </c>
      <c r="D95">
        <f t="shared" si="3"/>
        <v>4.419354838709677</v>
      </c>
    </row>
    <row r="96" spans="1:4" hidden="1" x14ac:dyDescent="0.25">
      <c r="A96" s="1">
        <v>40147</v>
      </c>
      <c r="B96">
        <v>15835</v>
      </c>
      <c r="C96">
        <f t="shared" si="2"/>
        <v>30</v>
      </c>
      <c r="D96">
        <f t="shared" si="3"/>
        <v>4.7</v>
      </c>
    </row>
    <row r="97" spans="1:4" hidden="1" x14ac:dyDescent="0.25">
      <c r="A97" s="1">
        <v>40178</v>
      </c>
      <c r="B97">
        <v>16087</v>
      </c>
      <c r="C97">
        <f t="shared" si="2"/>
        <v>31</v>
      </c>
      <c r="D97">
        <f t="shared" si="3"/>
        <v>8.129032258064516</v>
      </c>
    </row>
    <row r="98" spans="1:4" hidden="1" x14ac:dyDescent="0.25">
      <c r="A98" s="1">
        <v>40209</v>
      </c>
      <c r="B98">
        <v>16431</v>
      </c>
      <c r="C98">
        <f t="shared" si="2"/>
        <v>31</v>
      </c>
      <c r="D98">
        <f t="shared" si="3"/>
        <v>11.096774193548388</v>
      </c>
    </row>
    <row r="99" spans="1:4" x14ac:dyDescent="0.25">
      <c r="A99" s="2">
        <v>40237</v>
      </c>
      <c r="B99">
        <v>16792</v>
      </c>
      <c r="C99">
        <f t="shared" si="2"/>
        <v>28</v>
      </c>
      <c r="D99">
        <f t="shared" si="3"/>
        <v>12.892857142857142</v>
      </c>
    </row>
    <row r="100" spans="1:4" hidden="1" x14ac:dyDescent="0.25">
      <c r="A100" s="1">
        <v>40268</v>
      </c>
      <c r="B100">
        <v>17057</v>
      </c>
      <c r="C100">
        <f t="shared" si="2"/>
        <v>31</v>
      </c>
      <c r="D100">
        <f t="shared" si="3"/>
        <v>8.5483870967741939</v>
      </c>
    </row>
    <row r="101" spans="1:4" hidden="1" x14ac:dyDescent="0.25">
      <c r="A101" s="1">
        <v>40298</v>
      </c>
      <c r="B101">
        <v>17186</v>
      </c>
      <c r="C101">
        <f t="shared" si="2"/>
        <v>30</v>
      </c>
      <c r="D101">
        <f t="shared" si="3"/>
        <v>4.3</v>
      </c>
    </row>
    <row r="102" spans="1:4" hidden="1" x14ac:dyDescent="0.25">
      <c r="A102" s="1">
        <v>40329</v>
      </c>
      <c r="B102">
        <v>17301</v>
      </c>
      <c r="C102">
        <f t="shared" si="2"/>
        <v>31</v>
      </c>
      <c r="D102">
        <f t="shared" si="3"/>
        <v>3.7096774193548385</v>
      </c>
    </row>
    <row r="103" spans="1:4" hidden="1" x14ac:dyDescent="0.25">
      <c r="A103" s="1">
        <v>40359</v>
      </c>
      <c r="B103">
        <v>17332</v>
      </c>
      <c r="C103">
        <f t="shared" si="2"/>
        <v>30</v>
      </c>
      <c r="D103">
        <f t="shared" si="3"/>
        <v>1.0333333333333334</v>
      </c>
    </row>
    <row r="104" spans="1:4" hidden="1" x14ac:dyDescent="0.25">
      <c r="A104" s="1">
        <v>40390</v>
      </c>
      <c r="B104">
        <v>17352</v>
      </c>
      <c r="C104">
        <f t="shared" si="2"/>
        <v>31</v>
      </c>
      <c r="D104">
        <f t="shared" si="3"/>
        <v>0.64516129032258063</v>
      </c>
    </row>
    <row r="105" spans="1:4" hidden="1" x14ac:dyDescent="0.25">
      <c r="A105" s="1">
        <v>40421</v>
      </c>
      <c r="B105">
        <v>17367</v>
      </c>
      <c r="C105">
        <f t="shared" si="2"/>
        <v>31</v>
      </c>
      <c r="D105">
        <f t="shared" si="3"/>
        <v>0.4838709677419355</v>
      </c>
    </row>
    <row r="106" spans="1:4" hidden="1" x14ac:dyDescent="0.25">
      <c r="A106" s="1">
        <v>40451</v>
      </c>
      <c r="B106">
        <v>17517</v>
      </c>
      <c r="C106">
        <f t="shared" si="2"/>
        <v>30</v>
      </c>
      <c r="D106">
        <f t="shared" si="3"/>
        <v>5</v>
      </c>
    </row>
    <row r="107" spans="1:4" hidden="1" x14ac:dyDescent="0.25">
      <c r="A107" s="1">
        <v>40482</v>
      </c>
      <c r="B107">
        <v>17708</v>
      </c>
      <c r="C107">
        <f t="shared" si="2"/>
        <v>31</v>
      </c>
      <c r="D107">
        <f t="shared" si="3"/>
        <v>6.161290322580645</v>
      </c>
    </row>
    <row r="108" spans="1:4" hidden="1" x14ac:dyDescent="0.25">
      <c r="A108" s="1">
        <v>40512</v>
      </c>
      <c r="B108">
        <v>18052</v>
      </c>
      <c r="C108">
        <f t="shared" si="2"/>
        <v>30</v>
      </c>
      <c r="D108">
        <f t="shared" si="3"/>
        <v>11.466666666666667</v>
      </c>
    </row>
    <row r="109" spans="1:4" hidden="1" x14ac:dyDescent="0.25">
      <c r="A109" s="1">
        <v>40543</v>
      </c>
      <c r="B109">
        <v>18372</v>
      </c>
      <c r="C109">
        <f t="shared" si="2"/>
        <v>31</v>
      </c>
      <c r="D109">
        <f t="shared" si="3"/>
        <v>10.32258064516129</v>
      </c>
    </row>
    <row r="110" spans="1:4" hidden="1" x14ac:dyDescent="0.25">
      <c r="A110" s="1">
        <v>40574</v>
      </c>
      <c r="B110">
        <v>18680</v>
      </c>
      <c r="C110">
        <f t="shared" si="2"/>
        <v>31</v>
      </c>
      <c r="D110">
        <f t="shared" si="3"/>
        <v>9.935483870967742</v>
      </c>
    </row>
    <row r="111" spans="1:4" x14ac:dyDescent="0.25">
      <c r="A111" s="2">
        <v>40602</v>
      </c>
      <c r="B111">
        <v>19057</v>
      </c>
      <c r="C111">
        <f t="shared" si="2"/>
        <v>28</v>
      </c>
      <c r="D111">
        <f t="shared" si="3"/>
        <v>13.464285714285714</v>
      </c>
    </row>
    <row r="112" spans="1:4" hidden="1" x14ac:dyDescent="0.25">
      <c r="A112" s="1">
        <v>40633</v>
      </c>
      <c r="B112">
        <v>19285</v>
      </c>
      <c r="C112">
        <f t="shared" si="2"/>
        <v>31</v>
      </c>
      <c r="D112">
        <f t="shared" si="3"/>
        <v>7.354838709677419</v>
      </c>
    </row>
    <row r="113" spans="1:4" hidden="1" x14ac:dyDescent="0.25">
      <c r="A113" s="1">
        <v>40663</v>
      </c>
      <c r="B113">
        <v>19431</v>
      </c>
      <c r="C113">
        <f t="shared" si="2"/>
        <v>30</v>
      </c>
      <c r="D113">
        <f t="shared" si="3"/>
        <v>4.8666666666666663</v>
      </c>
    </row>
    <row r="114" spans="1:4" hidden="1" x14ac:dyDescent="0.25">
      <c r="A114" s="1">
        <v>40694</v>
      </c>
      <c r="B114">
        <v>19604</v>
      </c>
      <c r="C114">
        <f t="shared" si="2"/>
        <v>31</v>
      </c>
      <c r="D114">
        <f t="shared" si="3"/>
        <v>5.580645161290323</v>
      </c>
    </row>
    <row r="115" spans="1:4" hidden="1" x14ac:dyDescent="0.25">
      <c r="A115" s="1">
        <v>40724</v>
      </c>
      <c r="B115">
        <v>19702</v>
      </c>
      <c r="C115">
        <f t="shared" si="2"/>
        <v>30</v>
      </c>
      <c r="D115">
        <f t="shared" si="3"/>
        <v>3.2666666666666666</v>
      </c>
    </row>
    <row r="116" spans="1:4" hidden="1" x14ac:dyDescent="0.25">
      <c r="A116" s="1">
        <v>40755</v>
      </c>
      <c r="B116">
        <v>19718</v>
      </c>
      <c r="C116">
        <f t="shared" si="2"/>
        <v>31</v>
      </c>
      <c r="D116">
        <f t="shared" si="3"/>
        <v>0.5161290322580645</v>
      </c>
    </row>
    <row r="117" spans="1:4" hidden="1" x14ac:dyDescent="0.25">
      <c r="A117" s="1">
        <v>40786</v>
      </c>
      <c r="B117">
        <v>19735</v>
      </c>
      <c r="C117">
        <f t="shared" si="2"/>
        <v>31</v>
      </c>
      <c r="D117">
        <f t="shared" si="3"/>
        <v>0.54838709677419351</v>
      </c>
    </row>
    <row r="118" spans="1:4" hidden="1" x14ac:dyDescent="0.25">
      <c r="A118" s="1">
        <v>40816</v>
      </c>
      <c r="B118">
        <v>19815</v>
      </c>
      <c r="C118">
        <f t="shared" si="2"/>
        <v>30</v>
      </c>
      <c r="D118">
        <f t="shared" si="3"/>
        <v>2.6666666666666665</v>
      </c>
    </row>
    <row r="119" spans="1:4" hidden="1" x14ac:dyDescent="0.25">
      <c r="A119" s="1">
        <v>40847</v>
      </c>
      <c r="B119">
        <v>19946</v>
      </c>
      <c r="C119">
        <f t="shared" si="2"/>
        <v>31</v>
      </c>
      <c r="D119">
        <f t="shared" si="3"/>
        <v>4.225806451612903</v>
      </c>
    </row>
    <row r="120" spans="1:4" hidden="1" x14ac:dyDescent="0.25">
      <c r="A120" s="1">
        <v>40877</v>
      </c>
      <c r="B120">
        <v>20081</v>
      </c>
      <c r="C120">
        <f t="shared" si="2"/>
        <v>30</v>
      </c>
      <c r="D120">
        <f t="shared" si="3"/>
        <v>4.5</v>
      </c>
    </row>
    <row r="121" spans="1:4" hidden="1" x14ac:dyDescent="0.25">
      <c r="A121" s="1">
        <v>40908</v>
      </c>
      <c r="B121">
        <v>20323</v>
      </c>
      <c r="C121">
        <f t="shared" si="2"/>
        <v>31</v>
      </c>
      <c r="D121">
        <f t="shared" si="3"/>
        <v>7.806451612903226</v>
      </c>
    </row>
    <row r="122" spans="1:4" hidden="1" x14ac:dyDescent="0.25">
      <c r="A122" s="1">
        <v>40939</v>
      </c>
      <c r="B122">
        <v>20653</v>
      </c>
      <c r="C122">
        <f t="shared" si="2"/>
        <v>31</v>
      </c>
      <c r="D122">
        <f t="shared" si="3"/>
        <v>10.64516129032258</v>
      </c>
    </row>
    <row r="123" spans="1:4" x14ac:dyDescent="0.25">
      <c r="A123" s="2">
        <v>40967</v>
      </c>
      <c r="B123">
        <v>21000</v>
      </c>
      <c r="C123">
        <f t="shared" si="2"/>
        <v>28</v>
      </c>
      <c r="D123">
        <f t="shared" si="3"/>
        <v>12.392857142857142</v>
      </c>
    </row>
    <row r="124" spans="1:4" hidden="1" x14ac:dyDescent="0.25">
      <c r="A124" s="1">
        <v>40999</v>
      </c>
      <c r="B124">
        <v>21254</v>
      </c>
      <c r="C124">
        <f t="shared" si="2"/>
        <v>31</v>
      </c>
      <c r="D124">
        <f t="shared" si="3"/>
        <v>8.193548387096774</v>
      </c>
    </row>
    <row r="125" spans="1:4" hidden="1" x14ac:dyDescent="0.25">
      <c r="A125" s="1">
        <v>41029</v>
      </c>
      <c r="B125">
        <v>21377</v>
      </c>
      <c r="C125">
        <f t="shared" si="2"/>
        <v>30</v>
      </c>
      <c r="D125">
        <f t="shared" si="3"/>
        <v>4.0999999999999996</v>
      </c>
    </row>
    <row r="126" spans="1:4" hidden="1" x14ac:dyDescent="0.25">
      <c r="A126" s="1">
        <v>41060</v>
      </c>
      <c r="B126">
        <v>21487</v>
      </c>
      <c r="C126">
        <f t="shared" si="2"/>
        <v>31</v>
      </c>
      <c r="D126">
        <f t="shared" si="3"/>
        <v>3.5483870967741935</v>
      </c>
    </row>
    <row r="127" spans="1:4" hidden="1" x14ac:dyDescent="0.25">
      <c r="A127" s="1">
        <v>41090</v>
      </c>
      <c r="B127">
        <v>21517</v>
      </c>
      <c r="C127">
        <f t="shared" si="2"/>
        <v>30</v>
      </c>
      <c r="D127">
        <f t="shared" si="3"/>
        <v>1</v>
      </c>
    </row>
    <row r="128" spans="1:4" hidden="1" x14ac:dyDescent="0.25">
      <c r="A128" s="1">
        <v>41121</v>
      </c>
      <c r="B128">
        <v>21536</v>
      </c>
      <c r="C128">
        <f t="shared" si="2"/>
        <v>31</v>
      </c>
      <c r="D128">
        <f t="shared" si="3"/>
        <v>0.61290322580645162</v>
      </c>
    </row>
    <row r="129" spans="1:4" hidden="1" x14ac:dyDescent="0.25">
      <c r="A129" s="1">
        <v>41152</v>
      </c>
      <c r="B129">
        <v>21550</v>
      </c>
      <c r="C129">
        <f t="shared" si="2"/>
        <v>31</v>
      </c>
      <c r="D129">
        <f t="shared" si="3"/>
        <v>0.45161290322580644</v>
      </c>
    </row>
    <row r="130" spans="1:4" hidden="1" x14ac:dyDescent="0.25">
      <c r="A130" s="1">
        <v>41182</v>
      </c>
      <c r="B130">
        <v>21695</v>
      </c>
      <c r="C130">
        <f t="shared" si="2"/>
        <v>30</v>
      </c>
      <c r="D130">
        <f t="shared" si="3"/>
        <v>4.833333333333333</v>
      </c>
    </row>
    <row r="131" spans="1:4" hidden="1" x14ac:dyDescent="0.25">
      <c r="A131" s="1">
        <v>41213</v>
      </c>
      <c r="B131">
        <v>21878</v>
      </c>
      <c r="C131">
        <f t="shared" ref="C131:C194" si="4">DAY(A131)</f>
        <v>31</v>
      </c>
      <c r="D131">
        <f t="shared" si="3"/>
        <v>5.903225806451613</v>
      </c>
    </row>
    <row r="132" spans="1:4" hidden="1" x14ac:dyDescent="0.25">
      <c r="A132" s="1">
        <v>41243</v>
      </c>
      <c r="B132">
        <v>22208</v>
      </c>
      <c r="C132">
        <f t="shared" si="4"/>
        <v>30</v>
      </c>
      <c r="D132">
        <f t="shared" ref="D132:D195" si="5">(B132-B131)/C132</f>
        <v>11</v>
      </c>
    </row>
    <row r="133" spans="1:4" hidden="1" x14ac:dyDescent="0.25">
      <c r="A133" s="1">
        <v>41274</v>
      </c>
      <c r="B133">
        <v>22516</v>
      </c>
      <c r="C133">
        <f t="shared" si="4"/>
        <v>31</v>
      </c>
      <c r="D133">
        <f t="shared" si="5"/>
        <v>9.935483870967742</v>
      </c>
    </row>
    <row r="134" spans="1:4" hidden="1" x14ac:dyDescent="0.25">
      <c r="A134" s="1">
        <v>41305</v>
      </c>
      <c r="B134">
        <v>22811</v>
      </c>
      <c r="C134">
        <f t="shared" si="4"/>
        <v>31</v>
      </c>
      <c r="D134">
        <f t="shared" si="5"/>
        <v>9.5161290322580641</v>
      </c>
    </row>
    <row r="135" spans="1:4" x14ac:dyDescent="0.25">
      <c r="A135" s="2">
        <v>41333</v>
      </c>
      <c r="B135">
        <v>23173</v>
      </c>
      <c r="C135">
        <f t="shared" si="4"/>
        <v>28</v>
      </c>
      <c r="D135">
        <f t="shared" si="5"/>
        <v>12.928571428571429</v>
      </c>
    </row>
    <row r="136" spans="1:4" hidden="1" x14ac:dyDescent="0.25">
      <c r="A136" s="1">
        <v>41364</v>
      </c>
      <c r="B136">
        <v>23392</v>
      </c>
      <c r="C136">
        <f t="shared" si="4"/>
        <v>31</v>
      </c>
      <c r="D136">
        <f t="shared" si="5"/>
        <v>7.064516129032258</v>
      </c>
    </row>
    <row r="137" spans="1:4" hidden="1" x14ac:dyDescent="0.25">
      <c r="A137" s="1">
        <v>41394</v>
      </c>
      <c r="B137">
        <v>23533</v>
      </c>
      <c r="C137">
        <f t="shared" si="4"/>
        <v>30</v>
      </c>
      <c r="D137">
        <f t="shared" si="5"/>
        <v>4.7</v>
      </c>
    </row>
    <row r="138" spans="1:4" hidden="1" x14ac:dyDescent="0.25">
      <c r="A138" s="1">
        <v>41425</v>
      </c>
      <c r="B138">
        <v>23699</v>
      </c>
      <c r="C138">
        <f t="shared" si="4"/>
        <v>31</v>
      </c>
      <c r="D138">
        <f t="shared" si="5"/>
        <v>5.354838709677419</v>
      </c>
    </row>
    <row r="139" spans="1:4" hidden="1" x14ac:dyDescent="0.25">
      <c r="A139" s="1">
        <v>41455</v>
      </c>
      <c r="B139">
        <v>23793</v>
      </c>
      <c r="C139">
        <f t="shared" si="4"/>
        <v>30</v>
      </c>
      <c r="D139">
        <f t="shared" si="5"/>
        <v>3.1333333333333333</v>
      </c>
    </row>
    <row r="140" spans="1:4" hidden="1" x14ac:dyDescent="0.25">
      <c r="A140" s="1">
        <v>41486</v>
      </c>
      <c r="B140">
        <v>23809</v>
      </c>
      <c r="C140">
        <f t="shared" si="4"/>
        <v>31</v>
      </c>
      <c r="D140">
        <f t="shared" si="5"/>
        <v>0.5161290322580645</v>
      </c>
    </row>
    <row r="141" spans="1:4" hidden="1" x14ac:dyDescent="0.25">
      <c r="A141" s="1">
        <v>41517</v>
      </c>
      <c r="B141">
        <v>23825</v>
      </c>
      <c r="C141">
        <f t="shared" si="4"/>
        <v>31</v>
      </c>
      <c r="D141">
        <f t="shared" si="5"/>
        <v>0.5161290322580645</v>
      </c>
    </row>
    <row r="142" spans="1:4" hidden="1" x14ac:dyDescent="0.25">
      <c r="A142" s="1">
        <v>41547</v>
      </c>
      <c r="B142">
        <v>23902</v>
      </c>
      <c r="C142">
        <f t="shared" si="4"/>
        <v>30</v>
      </c>
      <c r="D142">
        <f t="shared" si="5"/>
        <v>2.5666666666666669</v>
      </c>
    </row>
    <row r="143" spans="1:4" hidden="1" x14ac:dyDescent="0.25">
      <c r="A143" s="1">
        <v>41578</v>
      </c>
      <c r="B143">
        <v>24028</v>
      </c>
      <c r="C143">
        <f t="shared" si="4"/>
        <v>31</v>
      </c>
      <c r="D143">
        <f t="shared" si="5"/>
        <v>4.064516129032258</v>
      </c>
    </row>
    <row r="144" spans="1:4" hidden="1" x14ac:dyDescent="0.25">
      <c r="A144" s="1">
        <v>41608</v>
      </c>
      <c r="B144">
        <v>24158</v>
      </c>
      <c r="C144">
        <f t="shared" si="4"/>
        <v>30</v>
      </c>
      <c r="D144">
        <f t="shared" si="5"/>
        <v>4.333333333333333</v>
      </c>
    </row>
    <row r="145" spans="1:4" hidden="1" x14ac:dyDescent="0.25">
      <c r="A145" s="1">
        <v>41639</v>
      </c>
      <c r="B145">
        <v>24390</v>
      </c>
      <c r="C145">
        <f t="shared" si="4"/>
        <v>31</v>
      </c>
      <c r="D145">
        <f t="shared" si="5"/>
        <v>7.4838709677419351</v>
      </c>
    </row>
    <row r="146" spans="1:4" hidden="1" x14ac:dyDescent="0.25">
      <c r="A146" s="1">
        <v>41670</v>
      </c>
      <c r="B146">
        <v>24707</v>
      </c>
      <c r="C146">
        <f t="shared" si="4"/>
        <v>31</v>
      </c>
      <c r="D146">
        <f t="shared" si="5"/>
        <v>10.225806451612904</v>
      </c>
    </row>
    <row r="147" spans="1:4" hidden="1" x14ac:dyDescent="0.25">
      <c r="A147" s="1">
        <v>41698</v>
      </c>
      <c r="B147">
        <v>25040</v>
      </c>
      <c r="C147">
        <f t="shared" si="4"/>
        <v>28</v>
      </c>
      <c r="D147">
        <f t="shared" si="5"/>
        <v>11.892857142857142</v>
      </c>
    </row>
    <row r="148" spans="1:4" hidden="1" x14ac:dyDescent="0.25">
      <c r="A148" s="1">
        <v>41729</v>
      </c>
      <c r="B148">
        <v>25284</v>
      </c>
      <c r="C148">
        <f t="shared" si="4"/>
        <v>31</v>
      </c>
      <c r="D148">
        <f t="shared" si="5"/>
        <v>7.870967741935484</v>
      </c>
    </row>
    <row r="149" spans="1:4" hidden="1" x14ac:dyDescent="0.25">
      <c r="A149" s="1">
        <v>41759</v>
      </c>
      <c r="B149">
        <v>25403</v>
      </c>
      <c r="C149">
        <f t="shared" si="4"/>
        <v>30</v>
      </c>
      <c r="D149">
        <f t="shared" si="5"/>
        <v>3.9666666666666668</v>
      </c>
    </row>
    <row r="150" spans="1:4" hidden="1" x14ac:dyDescent="0.25">
      <c r="A150" s="1">
        <v>41790</v>
      </c>
      <c r="B150">
        <v>25508</v>
      </c>
      <c r="C150">
        <f t="shared" si="4"/>
        <v>31</v>
      </c>
      <c r="D150">
        <f t="shared" si="5"/>
        <v>3.3870967741935485</v>
      </c>
    </row>
    <row r="151" spans="1:4" hidden="1" x14ac:dyDescent="0.25">
      <c r="A151" s="1">
        <v>41820</v>
      </c>
      <c r="B151">
        <v>25537</v>
      </c>
      <c r="C151">
        <f t="shared" si="4"/>
        <v>30</v>
      </c>
      <c r="D151">
        <f t="shared" si="5"/>
        <v>0.96666666666666667</v>
      </c>
    </row>
    <row r="152" spans="1:4" hidden="1" x14ac:dyDescent="0.25">
      <c r="A152" s="1">
        <v>41851</v>
      </c>
      <c r="B152">
        <v>25556</v>
      </c>
      <c r="C152">
        <f t="shared" si="4"/>
        <v>31</v>
      </c>
      <c r="D152">
        <f t="shared" si="5"/>
        <v>0.61290322580645162</v>
      </c>
    </row>
    <row r="153" spans="1:4" hidden="1" x14ac:dyDescent="0.25">
      <c r="A153" s="1">
        <v>41882</v>
      </c>
      <c r="B153">
        <v>25569</v>
      </c>
      <c r="C153">
        <f t="shared" si="4"/>
        <v>31</v>
      </c>
      <c r="D153">
        <f t="shared" si="5"/>
        <v>0.41935483870967744</v>
      </c>
    </row>
    <row r="154" spans="1:4" hidden="1" x14ac:dyDescent="0.25">
      <c r="A154" s="1">
        <v>41912</v>
      </c>
      <c r="B154">
        <v>25708</v>
      </c>
      <c r="C154">
        <f t="shared" si="4"/>
        <v>30</v>
      </c>
      <c r="D154">
        <f t="shared" si="5"/>
        <v>4.6333333333333337</v>
      </c>
    </row>
    <row r="155" spans="1:4" hidden="1" x14ac:dyDescent="0.25">
      <c r="A155" s="1">
        <v>41943</v>
      </c>
      <c r="B155">
        <v>25883</v>
      </c>
      <c r="C155">
        <f t="shared" si="4"/>
        <v>31</v>
      </c>
      <c r="D155">
        <f t="shared" si="5"/>
        <v>5.645161290322581</v>
      </c>
    </row>
    <row r="156" spans="1:4" hidden="1" x14ac:dyDescent="0.25">
      <c r="A156" s="1">
        <v>41973</v>
      </c>
      <c r="B156">
        <v>26183</v>
      </c>
      <c r="C156">
        <f t="shared" si="4"/>
        <v>30</v>
      </c>
      <c r="D156">
        <f t="shared" si="5"/>
        <v>10</v>
      </c>
    </row>
    <row r="157" spans="1:4" hidden="1" x14ac:dyDescent="0.25">
      <c r="A157" s="1">
        <v>42004</v>
      </c>
      <c r="B157">
        <v>26478</v>
      </c>
      <c r="C157">
        <f t="shared" si="4"/>
        <v>31</v>
      </c>
      <c r="D157">
        <f t="shared" si="5"/>
        <v>9.5161290322580641</v>
      </c>
    </row>
    <row r="158" spans="1:4" hidden="1" x14ac:dyDescent="0.25">
      <c r="A158" s="1">
        <v>42035</v>
      </c>
      <c r="B158">
        <v>26808</v>
      </c>
      <c r="C158">
        <f t="shared" si="4"/>
        <v>31</v>
      </c>
      <c r="D158">
        <f t="shared" si="5"/>
        <v>10.64516129032258</v>
      </c>
    </row>
    <row r="159" spans="1:4" x14ac:dyDescent="0.25">
      <c r="A159" s="2">
        <v>42063</v>
      </c>
      <c r="B159">
        <v>27156</v>
      </c>
      <c r="C159">
        <f t="shared" si="4"/>
        <v>28</v>
      </c>
      <c r="D159">
        <f t="shared" si="5"/>
        <v>12.428571428571429</v>
      </c>
    </row>
    <row r="160" spans="1:4" hidden="1" x14ac:dyDescent="0.25">
      <c r="A160" s="1">
        <v>42094</v>
      </c>
      <c r="B160">
        <v>27366</v>
      </c>
      <c r="C160">
        <f t="shared" si="4"/>
        <v>31</v>
      </c>
      <c r="D160">
        <f t="shared" si="5"/>
        <v>6.774193548387097</v>
      </c>
    </row>
    <row r="161" spans="1:4" hidden="1" x14ac:dyDescent="0.25">
      <c r="A161" s="1">
        <v>42124</v>
      </c>
      <c r="B161">
        <v>27501</v>
      </c>
      <c r="C161">
        <f t="shared" si="4"/>
        <v>30</v>
      </c>
      <c r="D161">
        <f t="shared" si="5"/>
        <v>4.5</v>
      </c>
    </row>
    <row r="162" spans="1:4" hidden="1" x14ac:dyDescent="0.25">
      <c r="A162" s="1">
        <v>42155</v>
      </c>
      <c r="B162">
        <v>27661</v>
      </c>
      <c r="C162">
        <f t="shared" si="4"/>
        <v>31</v>
      </c>
      <c r="D162">
        <f t="shared" si="5"/>
        <v>5.161290322580645</v>
      </c>
    </row>
    <row r="163" spans="1:4" hidden="1" x14ac:dyDescent="0.25">
      <c r="A163" s="1">
        <v>42185</v>
      </c>
      <c r="B163">
        <v>27752</v>
      </c>
      <c r="C163">
        <f t="shared" si="4"/>
        <v>30</v>
      </c>
      <c r="D163">
        <f t="shared" si="5"/>
        <v>3.0333333333333332</v>
      </c>
    </row>
    <row r="164" spans="1:4" hidden="1" x14ac:dyDescent="0.25">
      <c r="A164" s="1">
        <v>42216</v>
      </c>
      <c r="B164">
        <v>27767</v>
      </c>
      <c r="C164">
        <f t="shared" si="4"/>
        <v>31</v>
      </c>
      <c r="D164">
        <f t="shared" si="5"/>
        <v>0.4838709677419355</v>
      </c>
    </row>
    <row r="165" spans="1:4" hidden="1" x14ac:dyDescent="0.25">
      <c r="A165" s="1">
        <v>42247</v>
      </c>
      <c r="B165">
        <v>27783</v>
      </c>
      <c r="C165">
        <f t="shared" si="4"/>
        <v>31</v>
      </c>
      <c r="D165">
        <f t="shared" si="5"/>
        <v>0.5161290322580645</v>
      </c>
    </row>
    <row r="166" spans="1:4" hidden="1" x14ac:dyDescent="0.25">
      <c r="A166" s="1">
        <v>42277</v>
      </c>
      <c r="B166">
        <v>27857</v>
      </c>
      <c r="C166">
        <f t="shared" si="4"/>
        <v>30</v>
      </c>
      <c r="D166">
        <f t="shared" si="5"/>
        <v>2.4666666666666668</v>
      </c>
    </row>
    <row r="167" spans="1:4" hidden="1" x14ac:dyDescent="0.25">
      <c r="A167" s="1">
        <v>42308</v>
      </c>
      <c r="B167">
        <v>27978</v>
      </c>
      <c r="C167">
        <f t="shared" si="4"/>
        <v>31</v>
      </c>
      <c r="D167">
        <f t="shared" si="5"/>
        <v>3.903225806451613</v>
      </c>
    </row>
    <row r="168" spans="1:4" hidden="1" x14ac:dyDescent="0.25">
      <c r="A168" s="1">
        <v>42338</v>
      </c>
      <c r="B168">
        <v>28103</v>
      </c>
      <c r="C168">
        <f t="shared" si="4"/>
        <v>30</v>
      </c>
      <c r="D168">
        <f t="shared" si="5"/>
        <v>4.166666666666667</v>
      </c>
    </row>
    <row r="169" spans="1:4" hidden="1" x14ac:dyDescent="0.25">
      <c r="A169" s="1">
        <v>42369</v>
      </c>
      <c r="B169">
        <v>28326</v>
      </c>
      <c r="C169">
        <f t="shared" si="4"/>
        <v>31</v>
      </c>
      <c r="D169">
        <f t="shared" si="5"/>
        <v>7.193548387096774</v>
      </c>
    </row>
    <row r="170" spans="1:4" hidden="1" x14ac:dyDescent="0.25">
      <c r="A170" s="1">
        <v>42400</v>
      </c>
      <c r="B170">
        <v>28631</v>
      </c>
      <c r="C170">
        <f t="shared" si="4"/>
        <v>31</v>
      </c>
      <c r="D170">
        <f t="shared" si="5"/>
        <v>9.8387096774193541</v>
      </c>
    </row>
    <row r="171" spans="1:4" hidden="1" x14ac:dyDescent="0.25">
      <c r="A171" s="1">
        <v>42428</v>
      </c>
      <c r="B171">
        <v>28931</v>
      </c>
      <c r="C171">
        <f t="shared" si="4"/>
        <v>28</v>
      </c>
      <c r="D171">
        <f t="shared" si="5"/>
        <v>10.714285714285714</v>
      </c>
    </row>
    <row r="172" spans="1:4" hidden="1" x14ac:dyDescent="0.25">
      <c r="A172" s="1">
        <v>42460</v>
      </c>
      <c r="B172">
        <v>29165</v>
      </c>
      <c r="C172">
        <f t="shared" si="4"/>
        <v>31</v>
      </c>
      <c r="D172">
        <f t="shared" si="5"/>
        <v>7.5483870967741939</v>
      </c>
    </row>
    <row r="173" spans="1:4" hidden="1" x14ac:dyDescent="0.25">
      <c r="A173" s="1">
        <v>42490</v>
      </c>
      <c r="B173">
        <v>29279</v>
      </c>
      <c r="C173">
        <f t="shared" si="4"/>
        <v>30</v>
      </c>
      <c r="D173">
        <f t="shared" si="5"/>
        <v>3.8</v>
      </c>
    </row>
    <row r="174" spans="1:4" hidden="1" x14ac:dyDescent="0.25">
      <c r="A174" s="1">
        <v>42521</v>
      </c>
      <c r="B174">
        <v>29381</v>
      </c>
      <c r="C174">
        <f t="shared" si="4"/>
        <v>31</v>
      </c>
      <c r="D174">
        <f t="shared" si="5"/>
        <v>3.2903225806451615</v>
      </c>
    </row>
    <row r="175" spans="1:4" hidden="1" x14ac:dyDescent="0.25">
      <c r="A175" s="1">
        <v>42551</v>
      </c>
      <c r="B175">
        <v>29409</v>
      </c>
      <c r="C175">
        <f t="shared" si="4"/>
        <v>30</v>
      </c>
      <c r="D175">
        <f t="shared" si="5"/>
        <v>0.93333333333333335</v>
      </c>
    </row>
    <row r="176" spans="1:4" hidden="1" x14ac:dyDescent="0.25">
      <c r="A176" s="1">
        <v>42582</v>
      </c>
      <c r="B176">
        <v>29427</v>
      </c>
      <c r="C176">
        <f t="shared" si="4"/>
        <v>31</v>
      </c>
      <c r="D176">
        <f t="shared" si="5"/>
        <v>0.58064516129032262</v>
      </c>
    </row>
    <row r="177" spans="1:4" hidden="1" x14ac:dyDescent="0.25">
      <c r="A177" s="1">
        <v>42613</v>
      </c>
      <c r="B177">
        <v>29440</v>
      </c>
      <c r="C177">
        <f t="shared" si="4"/>
        <v>31</v>
      </c>
      <c r="D177">
        <f t="shared" si="5"/>
        <v>0.41935483870967744</v>
      </c>
    </row>
    <row r="178" spans="1:4" hidden="1" x14ac:dyDescent="0.25">
      <c r="A178" s="1">
        <v>42643</v>
      </c>
      <c r="B178">
        <v>29574</v>
      </c>
      <c r="C178">
        <f t="shared" si="4"/>
        <v>30</v>
      </c>
      <c r="D178">
        <f t="shared" si="5"/>
        <v>4.4666666666666668</v>
      </c>
    </row>
    <row r="179" spans="1:4" hidden="1" x14ac:dyDescent="0.25">
      <c r="A179" s="1">
        <v>42674</v>
      </c>
      <c r="B179">
        <v>29743</v>
      </c>
      <c r="C179">
        <f t="shared" si="4"/>
        <v>31</v>
      </c>
      <c r="D179">
        <f t="shared" si="5"/>
        <v>5.4516129032258061</v>
      </c>
    </row>
    <row r="180" spans="1:4" hidden="1" x14ac:dyDescent="0.25">
      <c r="A180" s="1">
        <v>42704</v>
      </c>
      <c r="B180">
        <v>30031</v>
      </c>
      <c r="C180">
        <f t="shared" si="4"/>
        <v>30</v>
      </c>
      <c r="D180">
        <f t="shared" si="5"/>
        <v>9.6</v>
      </c>
    </row>
    <row r="181" spans="1:4" hidden="1" x14ac:dyDescent="0.25">
      <c r="A181" s="1">
        <v>42735</v>
      </c>
      <c r="B181">
        <v>30314</v>
      </c>
      <c r="C181">
        <f t="shared" si="4"/>
        <v>31</v>
      </c>
      <c r="D181">
        <f t="shared" si="5"/>
        <v>9.129032258064516</v>
      </c>
    </row>
    <row r="182" spans="1:4" hidden="1" x14ac:dyDescent="0.25">
      <c r="A182" s="1">
        <v>42766</v>
      </c>
      <c r="B182">
        <v>30630</v>
      </c>
      <c r="C182">
        <f t="shared" si="4"/>
        <v>31</v>
      </c>
      <c r="D182">
        <f t="shared" si="5"/>
        <v>10.193548387096774</v>
      </c>
    </row>
    <row r="183" spans="1:4" hidden="1" x14ac:dyDescent="0.25">
      <c r="A183" s="1">
        <v>42794</v>
      </c>
      <c r="B183">
        <v>30964</v>
      </c>
      <c r="C183">
        <f t="shared" si="4"/>
        <v>28</v>
      </c>
      <c r="D183">
        <f t="shared" si="5"/>
        <v>11.928571428571429</v>
      </c>
    </row>
    <row r="184" spans="1:4" hidden="1" x14ac:dyDescent="0.25">
      <c r="A184" s="1">
        <v>42825</v>
      </c>
      <c r="B184">
        <v>31166</v>
      </c>
      <c r="C184">
        <f t="shared" si="4"/>
        <v>31</v>
      </c>
      <c r="D184">
        <f t="shared" si="5"/>
        <v>6.5161290322580649</v>
      </c>
    </row>
    <row r="185" spans="1:4" hidden="1" x14ac:dyDescent="0.25">
      <c r="A185" s="1">
        <v>42855</v>
      </c>
      <c r="B185">
        <v>31296</v>
      </c>
      <c r="C185">
        <f t="shared" si="4"/>
        <v>30</v>
      </c>
      <c r="D185">
        <f t="shared" si="5"/>
        <v>4.333333333333333</v>
      </c>
    </row>
    <row r="186" spans="1:4" hidden="1" x14ac:dyDescent="0.25">
      <c r="A186" s="1">
        <v>42886</v>
      </c>
      <c r="B186">
        <v>31449</v>
      </c>
      <c r="C186">
        <f t="shared" si="4"/>
        <v>31</v>
      </c>
      <c r="D186">
        <f t="shared" si="5"/>
        <v>4.935483870967742</v>
      </c>
    </row>
    <row r="187" spans="1:4" hidden="1" x14ac:dyDescent="0.25">
      <c r="A187" s="1">
        <v>42916</v>
      </c>
      <c r="B187">
        <v>31535</v>
      </c>
      <c r="C187">
        <f t="shared" si="4"/>
        <v>30</v>
      </c>
      <c r="D187">
        <f t="shared" si="5"/>
        <v>2.8666666666666667</v>
      </c>
    </row>
    <row r="188" spans="1:4" hidden="1" x14ac:dyDescent="0.25">
      <c r="A188" s="1">
        <v>42947</v>
      </c>
      <c r="B188">
        <v>31550</v>
      </c>
      <c r="C188">
        <f t="shared" si="4"/>
        <v>31</v>
      </c>
      <c r="D188">
        <f t="shared" si="5"/>
        <v>0.4838709677419355</v>
      </c>
    </row>
    <row r="189" spans="1:4" hidden="1" x14ac:dyDescent="0.25">
      <c r="A189" s="1">
        <v>42978</v>
      </c>
      <c r="B189">
        <v>31565</v>
      </c>
      <c r="C189">
        <f t="shared" si="4"/>
        <v>31</v>
      </c>
      <c r="D189">
        <f t="shared" si="5"/>
        <v>0.4838709677419355</v>
      </c>
    </row>
    <row r="190" spans="1:4" hidden="1" x14ac:dyDescent="0.25">
      <c r="A190" s="1">
        <v>43008</v>
      </c>
      <c r="B190">
        <v>31635</v>
      </c>
      <c r="C190">
        <f t="shared" si="4"/>
        <v>30</v>
      </c>
      <c r="D190">
        <f t="shared" si="5"/>
        <v>2.3333333333333335</v>
      </c>
    </row>
    <row r="191" spans="1:4" hidden="1" x14ac:dyDescent="0.25">
      <c r="A191" s="1">
        <v>43039</v>
      </c>
      <c r="B191">
        <v>31751</v>
      </c>
      <c r="C191">
        <f t="shared" si="4"/>
        <v>31</v>
      </c>
      <c r="D191">
        <f t="shared" si="5"/>
        <v>3.7419354838709675</v>
      </c>
    </row>
    <row r="192" spans="1:4" hidden="1" x14ac:dyDescent="0.25">
      <c r="A192" s="1">
        <v>43069</v>
      </c>
      <c r="B192">
        <v>31871</v>
      </c>
      <c r="C192">
        <f t="shared" si="4"/>
        <v>30</v>
      </c>
      <c r="D192">
        <f t="shared" si="5"/>
        <v>4</v>
      </c>
    </row>
    <row r="193" spans="1:4" hidden="1" x14ac:dyDescent="0.25">
      <c r="A193" s="1">
        <v>43100</v>
      </c>
      <c r="B193">
        <v>32085</v>
      </c>
      <c r="C193">
        <f t="shared" si="4"/>
        <v>31</v>
      </c>
      <c r="D193">
        <f t="shared" si="5"/>
        <v>6.903225806451613</v>
      </c>
    </row>
    <row r="194" spans="1:4" hidden="1" x14ac:dyDescent="0.25">
      <c r="A194" s="1">
        <v>43131</v>
      </c>
      <c r="B194">
        <v>32376</v>
      </c>
      <c r="C194">
        <f t="shared" si="4"/>
        <v>31</v>
      </c>
      <c r="D194">
        <f t="shared" si="5"/>
        <v>9.387096774193548</v>
      </c>
    </row>
    <row r="195" spans="1:4" hidden="1" x14ac:dyDescent="0.25">
      <c r="A195" s="1">
        <v>43159</v>
      </c>
      <c r="B195">
        <v>32621</v>
      </c>
      <c r="C195">
        <f t="shared" ref="C195:C205" si="6">DAY(A195)</f>
        <v>28</v>
      </c>
      <c r="D195">
        <f t="shared" si="5"/>
        <v>8.75</v>
      </c>
    </row>
    <row r="196" spans="1:4" hidden="1" x14ac:dyDescent="0.25">
      <c r="A196" s="1">
        <v>43190</v>
      </c>
      <c r="B196">
        <v>32846</v>
      </c>
      <c r="C196">
        <f t="shared" si="6"/>
        <v>31</v>
      </c>
      <c r="D196">
        <f t="shared" ref="D196:D205" si="7">(B196-B195)/C196</f>
        <v>7.258064516129032</v>
      </c>
    </row>
    <row r="197" spans="1:4" hidden="1" x14ac:dyDescent="0.25">
      <c r="A197" s="1">
        <v>43220</v>
      </c>
      <c r="B197">
        <v>32955</v>
      </c>
      <c r="C197">
        <f t="shared" si="6"/>
        <v>30</v>
      </c>
      <c r="D197">
        <f t="shared" si="7"/>
        <v>3.6333333333333333</v>
      </c>
    </row>
    <row r="198" spans="1:4" hidden="1" x14ac:dyDescent="0.25">
      <c r="A198" s="1">
        <v>43251</v>
      </c>
      <c r="B198">
        <v>33003</v>
      </c>
      <c r="C198">
        <f t="shared" si="6"/>
        <v>31</v>
      </c>
      <c r="D198">
        <f t="shared" si="7"/>
        <v>1.5483870967741935</v>
      </c>
    </row>
    <row r="199" spans="1:4" hidden="1" x14ac:dyDescent="0.25">
      <c r="A199" s="1">
        <v>43281</v>
      </c>
      <c r="B199">
        <v>33030</v>
      </c>
      <c r="C199">
        <f t="shared" si="6"/>
        <v>30</v>
      </c>
      <c r="D199">
        <f t="shared" si="7"/>
        <v>0.9</v>
      </c>
    </row>
    <row r="200" spans="1:4" hidden="1" x14ac:dyDescent="0.25">
      <c r="A200" s="1">
        <v>43312</v>
      </c>
      <c r="B200">
        <v>33046</v>
      </c>
      <c r="C200">
        <f t="shared" si="6"/>
        <v>31</v>
      </c>
      <c r="D200">
        <f t="shared" si="7"/>
        <v>0.5161290322580645</v>
      </c>
    </row>
    <row r="201" spans="1:4" hidden="1" x14ac:dyDescent="0.25">
      <c r="A201" s="1">
        <v>43343</v>
      </c>
      <c r="B201">
        <v>33058</v>
      </c>
      <c r="C201">
        <f t="shared" si="6"/>
        <v>31</v>
      </c>
      <c r="D201">
        <f t="shared" si="7"/>
        <v>0.38709677419354838</v>
      </c>
    </row>
    <row r="202" spans="1:4" hidden="1" x14ac:dyDescent="0.25">
      <c r="A202" s="1">
        <v>43373</v>
      </c>
      <c r="B202">
        <v>33186</v>
      </c>
      <c r="C202">
        <f t="shared" si="6"/>
        <v>30</v>
      </c>
      <c r="D202">
        <f t="shared" si="7"/>
        <v>4.2666666666666666</v>
      </c>
    </row>
    <row r="203" spans="1:4" hidden="1" x14ac:dyDescent="0.25">
      <c r="A203" s="1">
        <v>43404</v>
      </c>
      <c r="B203">
        <v>33323</v>
      </c>
      <c r="C203">
        <f t="shared" si="6"/>
        <v>31</v>
      </c>
      <c r="D203">
        <f t="shared" si="7"/>
        <v>4.419354838709677</v>
      </c>
    </row>
    <row r="204" spans="1:4" hidden="1" x14ac:dyDescent="0.25">
      <c r="A204" s="1">
        <v>43434</v>
      </c>
      <c r="B204">
        <v>33483</v>
      </c>
      <c r="C204">
        <f t="shared" si="6"/>
        <v>30</v>
      </c>
      <c r="D204">
        <f t="shared" si="7"/>
        <v>5.333333333333333</v>
      </c>
    </row>
    <row r="205" spans="1:4" hidden="1" x14ac:dyDescent="0.25">
      <c r="A205" s="1">
        <v>43465</v>
      </c>
      <c r="B205">
        <v>33734</v>
      </c>
      <c r="C205">
        <f t="shared" si="6"/>
        <v>31</v>
      </c>
      <c r="D205">
        <f t="shared" si="7"/>
        <v>8.0967741935483879</v>
      </c>
    </row>
  </sheetData>
  <autoFilter ref="A1:D205">
    <filterColumn colId="3">
      <customFilters>
        <customFilter operator="greaterThan" val="12"/>
      </custom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abSelected="1" workbookViewId="0">
      <selection activeCell="E2" sqref="E2"/>
    </sheetView>
  </sheetViews>
  <sheetFormatPr defaultRowHeight="15" x14ac:dyDescent="0.25"/>
  <cols>
    <col min="1" max="1" width="12.28515625" bestFit="1" customWidth="1"/>
    <col min="2" max="2" width="14.140625" bestFit="1" customWidth="1"/>
    <col min="4" max="4" width="15.42578125" bestFit="1" customWidth="1"/>
    <col min="5" max="5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18</v>
      </c>
      <c r="E1" t="s">
        <v>4</v>
      </c>
      <c r="G1" t="s">
        <v>4</v>
      </c>
      <c r="H1" t="s">
        <v>5</v>
      </c>
    </row>
    <row r="2" spans="1:8" x14ac:dyDescent="0.25">
      <c r="A2" s="1">
        <v>37287</v>
      </c>
      <c r="B2">
        <v>2283</v>
      </c>
      <c r="C2">
        <f>DAY(A2)</f>
        <v>31</v>
      </c>
      <c r="D2">
        <f>(B2-2083)</f>
        <v>200</v>
      </c>
      <c r="E2" t="str">
        <f>TEXT(A2,"mmmm")</f>
        <v>styczeń</v>
      </c>
      <c r="G2" t="s">
        <v>6</v>
      </c>
      <c r="H2">
        <f>AVERAGEIF($E$2:$E$205,G2,$D$2:$D$205)</f>
        <v>285.47058823529414</v>
      </c>
    </row>
    <row r="3" spans="1:8" x14ac:dyDescent="0.25">
      <c r="A3" s="1">
        <v>37315</v>
      </c>
      <c r="B3">
        <v>2518</v>
      </c>
      <c r="C3">
        <f t="shared" ref="C3:C66" si="0">DAY(A3)</f>
        <v>28</v>
      </c>
      <c r="D3">
        <f>(B3-B2)</f>
        <v>235</v>
      </c>
      <c r="E3" t="str">
        <f t="shared" ref="E3:E66" si="1">TEXT(A3,"mmmm")</f>
        <v>luty</v>
      </c>
      <c r="G3" t="s">
        <v>7</v>
      </c>
      <c r="H3">
        <f>AVERAGEIF($E$2:$E$205,G3,$D$2:$D$205)</f>
        <v>292.70588235294116</v>
      </c>
    </row>
    <row r="4" spans="1:8" x14ac:dyDescent="0.25">
      <c r="A4" s="1">
        <v>37346</v>
      </c>
      <c r="B4">
        <v>2696</v>
      </c>
      <c r="C4">
        <f t="shared" si="0"/>
        <v>31</v>
      </c>
      <c r="D4">
        <f t="shared" ref="D4:D67" si="2">(B4-B3)</f>
        <v>178</v>
      </c>
      <c r="E4" t="str">
        <f t="shared" si="1"/>
        <v>marzec</v>
      </c>
      <c r="G4" t="s">
        <v>8</v>
      </c>
      <c r="H4">
        <f t="shared" ref="H4:H13" si="3">AVERAGEIF($E$2:$E$205,G4,$D$2:$D$205)</f>
        <v>219.23529411764707</v>
      </c>
    </row>
    <row r="5" spans="1:8" x14ac:dyDescent="0.25">
      <c r="A5" s="1">
        <v>37376</v>
      </c>
      <c r="B5">
        <v>2857</v>
      </c>
      <c r="C5">
        <f t="shared" si="0"/>
        <v>30</v>
      </c>
      <c r="D5">
        <f t="shared" si="2"/>
        <v>161</v>
      </c>
      <c r="E5" t="str">
        <f t="shared" si="1"/>
        <v>kwiecień</v>
      </c>
      <c r="G5" t="s">
        <v>9</v>
      </c>
      <c r="H5">
        <f t="shared" si="3"/>
        <v>139.23529411764707</v>
      </c>
    </row>
    <row r="6" spans="1:8" x14ac:dyDescent="0.25">
      <c r="A6" s="1">
        <v>37407</v>
      </c>
      <c r="B6">
        <v>2917</v>
      </c>
      <c r="C6">
        <f t="shared" si="0"/>
        <v>31</v>
      </c>
      <c r="D6">
        <f t="shared" si="2"/>
        <v>60</v>
      </c>
      <c r="E6" t="str">
        <f t="shared" si="1"/>
        <v>maj</v>
      </c>
      <c r="G6" t="s">
        <v>10</v>
      </c>
      <c r="H6">
        <f t="shared" si="3"/>
        <v>129.76470588235293</v>
      </c>
    </row>
    <row r="7" spans="1:8" x14ac:dyDescent="0.25">
      <c r="A7" s="1">
        <v>37437</v>
      </c>
      <c r="B7">
        <v>2952</v>
      </c>
      <c r="C7">
        <f t="shared" si="0"/>
        <v>30</v>
      </c>
      <c r="D7">
        <f t="shared" si="2"/>
        <v>35</v>
      </c>
      <c r="E7" t="str">
        <f t="shared" si="1"/>
        <v>czerwiec</v>
      </c>
      <c r="G7" t="s">
        <v>11</v>
      </c>
      <c r="H7">
        <f t="shared" si="3"/>
        <v>61</v>
      </c>
    </row>
    <row r="8" spans="1:8" x14ac:dyDescent="0.25">
      <c r="A8" s="1">
        <v>37468</v>
      </c>
      <c r="B8">
        <v>2979</v>
      </c>
      <c r="C8">
        <f t="shared" si="0"/>
        <v>31</v>
      </c>
      <c r="D8">
        <f t="shared" si="2"/>
        <v>27</v>
      </c>
      <c r="E8" t="str">
        <f t="shared" si="1"/>
        <v>lipiec</v>
      </c>
      <c r="G8" t="s">
        <v>12</v>
      </c>
      <c r="H8">
        <f t="shared" si="3"/>
        <v>16.647058823529413</v>
      </c>
    </row>
    <row r="9" spans="1:8" x14ac:dyDescent="0.25">
      <c r="A9" s="1">
        <v>37499</v>
      </c>
      <c r="B9">
        <v>3009</v>
      </c>
      <c r="C9">
        <f t="shared" si="0"/>
        <v>31</v>
      </c>
      <c r="D9">
        <f t="shared" si="2"/>
        <v>30</v>
      </c>
      <c r="E9" t="str">
        <f t="shared" si="1"/>
        <v>sierpień</v>
      </c>
      <c r="G9" t="s">
        <v>13</v>
      </c>
      <c r="H9">
        <f t="shared" si="3"/>
        <v>15.941176470588236</v>
      </c>
    </row>
    <row r="10" spans="1:8" x14ac:dyDescent="0.25">
      <c r="A10" s="1">
        <v>37529</v>
      </c>
      <c r="B10">
        <v>3040</v>
      </c>
      <c r="C10">
        <f t="shared" si="0"/>
        <v>30</v>
      </c>
      <c r="D10">
        <f t="shared" si="2"/>
        <v>31</v>
      </c>
      <c r="E10" t="str">
        <f t="shared" si="1"/>
        <v>wrzesień</v>
      </c>
      <c r="G10" t="s">
        <v>14</v>
      </c>
      <c r="H10">
        <f t="shared" si="3"/>
        <v>110.70588235294117</v>
      </c>
    </row>
    <row r="11" spans="1:8" x14ac:dyDescent="0.25">
      <c r="A11" s="1">
        <v>37560</v>
      </c>
      <c r="B11">
        <v>3116</v>
      </c>
      <c r="C11">
        <f t="shared" si="0"/>
        <v>31</v>
      </c>
      <c r="D11">
        <f t="shared" si="2"/>
        <v>76</v>
      </c>
      <c r="E11" t="str">
        <f t="shared" si="1"/>
        <v>październik</v>
      </c>
      <c r="G11" t="s">
        <v>15</v>
      </c>
      <c r="H11">
        <f t="shared" si="3"/>
        <v>147.70588235294119</v>
      </c>
    </row>
    <row r="12" spans="1:8" x14ac:dyDescent="0.25">
      <c r="A12" s="1">
        <v>37590</v>
      </c>
      <c r="B12">
        <v>3222</v>
      </c>
      <c r="C12">
        <f t="shared" si="0"/>
        <v>30</v>
      </c>
      <c r="D12">
        <f t="shared" si="2"/>
        <v>106</v>
      </c>
      <c r="E12" t="str">
        <f t="shared" si="1"/>
        <v>listopad</v>
      </c>
      <c r="G12" t="s">
        <v>16</v>
      </c>
      <c r="H12">
        <f t="shared" si="3"/>
        <v>197.11764705882354</v>
      </c>
    </row>
    <row r="13" spans="1:8" x14ac:dyDescent="0.25">
      <c r="A13" s="1">
        <v>37621</v>
      </c>
      <c r="B13">
        <v>3393</v>
      </c>
      <c r="C13">
        <f t="shared" si="0"/>
        <v>31</v>
      </c>
      <c r="D13">
        <f t="shared" si="2"/>
        <v>171</v>
      </c>
      <c r="E13" t="str">
        <f t="shared" si="1"/>
        <v>grudzień</v>
      </c>
      <c r="G13" t="s">
        <v>17</v>
      </c>
      <c r="H13">
        <f t="shared" si="3"/>
        <v>246.29411764705881</v>
      </c>
    </row>
    <row r="14" spans="1:8" x14ac:dyDescent="0.25">
      <c r="A14" s="1">
        <v>37652</v>
      </c>
      <c r="B14">
        <v>3613</v>
      </c>
      <c r="C14">
        <f t="shared" si="0"/>
        <v>31</v>
      </c>
      <c r="D14">
        <f t="shared" si="2"/>
        <v>220</v>
      </c>
      <c r="E14" t="str">
        <f t="shared" si="1"/>
        <v>styczeń</v>
      </c>
    </row>
    <row r="15" spans="1:8" x14ac:dyDescent="0.25">
      <c r="A15" s="1">
        <v>37680</v>
      </c>
      <c r="B15">
        <v>3891</v>
      </c>
      <c r="C15">
        <f t="shared" si="0"/>
        <v>28</v>
      </c>
      <c r="D15">
        <f t="shared" si="2"/>
        <v>278</v>
      </c>
      <c r="E15" t="str">
        <f t="shared" si="1"/>
        <v>luty</v>
      </c>
    </row>
    <row r="16" spans="1:8" x14ac:dyDescent="0.25">
      <c r="A16" s="1">
        <v>37711</v>
      </c>
      <c r="B16">
        <v>4151</v>
      </c>
      <c r="C16">
        <f t="shared" si="0"/>
        <v>31</v>
      </c>
      <c r="D16">
        <f t="shared" si="2"/>
        <v>260</v>
      </c>
      <c r="E16" t="str">
        <f t="shared" si="1"/>
        <v>marzec</v>
      </c>
    </row>
    <row r="17" spans="1:5" x14ac:dyDescent="0.25">
      <c r="A17" s="1">
        <v>37741</v>
      </c>
      <c r="B17">
        <v>4401</v>
      </c>
      <c r="C17">
        <f t="shared" si="0"/>
        <v>30</v>
      </c>
      <c r="D17">
        <f t="shared" si="2"/>
        <v>250</v>
      </c>
      <c r="E17" t="str">
        <f t="shared" si="1"/>
        <v>kwiecień</v>
      </c>
    </row>
    <row r="18" spans="1:5" x14ac:dyDescent="0.25">
      <c r="A18" s="1">
        <v>37772</v>
      </c>
      <c r="B18">
        <v>4553</v>
      </c>
      <c r="C18">
        <f t="shared" si="0"/>
        <v>31</v>
      </c>
      <c r="D18">
        <f t="shared" si="2"/>
        <v>152</v>
      </c>
      <c r="E18" t="str">
        <f t="shared" si="1"/>
        <v>maj</v>
      </c>
    </row>
    <row r="19" spans="1:5" x14ac:dyDescent="0.25">
      <c r="A19" s="1">
        <v>37802</v>
      </c>
      <c r="B19">
        <v>4639</v>
      </c>
      <c r="C19">
        <f t="shared" si="0"/>
        <v>30</v>
      </c>
      <c r="D19">
        <f t="shared" si="2"/>
        <v>86</v>
      </c>
      <c r="E19" t="str">
        <f t="shared" si="1"/>
        <v>czerwiec</v>
      </c>
    </row>
    <row r="20" spans="1:5" x14ac:dyDescent="0.25">
      <c r="A20" s="1">
        <v>37833</v>
      </c>
      <c r="B20">
        <v>4654</v>
      </c>
      <c r="C20">
        <f t="shared" si="0"/>
        <v>31</v>
      </c>
      <c r="D20">
        <f t="shared" si="2"/>
        <v>15</v>
      </c>
      <c r="E20" t="str">
        <f t="shared" si="1"/>
        <v>lipiec</v>
      </c>
    </row>
    <row r="21" spans="1:5" x14ac:dyDescent="0.25">
      <c r="A21" s="1">
        <v>37864</v>
      </c>
      <c r="B21">
        <v>4669</v>
      </c>
      <c r="C21">
        <f t="shared" si="0"/>
        <v>31</v>
      </c>
      <c r="D21">
        <f t="shared" si="2"/>
        <v>15</v>
      </c>
      <c r="E21" t="str">
        <f t="shared" si="1"/>
        <v>sierpień</v>
      </c>
    </row>
    <row r="22" spans="1:5" x14ac:dyDescent="0.25">
      <c r="A22" s="1">
        <v>37894</v>
      </c>
      <c r="B22">
        <v>4819</v>
      </c>
      <c r="C22">
        <f t="shared" si="0"/>
        <v>30</v>
      </c>
      <c r="D22">
        <f t="shared" si="2"/>
        <v>150</v>
      </c>
      <c r="E22" t="str">
        <f t="shared" si="1"/>
        <v>wrzesień</v>
      </c>
    </row>
    <row r="23" spans="1:5" x14ac:dyDescent="0.25">
      <c r="A23" s="1">
        <v>37925</v>
      </c>
      <c r="B23">
        <v>4976</v>
      </c>
      <c r="C23">
        <f t="shared" si="0"/>
        <v>31</v>
      </c>
      <c r="D23">
        <f t="shared" si="2"/>
        <v>157</v>
      </c>
      <c r="E23" t="str">
        <f t="shared" si="1"/>
        <v>październik</v>
      </c>
    </row>
    <row r="24" spans="1:5" x14ac:dyDescent="0.25">
      <c r="A24" s="1">
        <v>37955</v>
      </c>
      <c r="B24">
        <v>5078</v>
      </c>
      <c r="C24">
        <f t="shared" si="0"/>
        <v>30</v>
      </c>
      <c r="D24">
        <f t="shared" si="2"/>
        <v>102</v>
      </c>
      <c r="E24" t="str">
        <f t="shared" si="1"/>
        <v>listopad</v>
      </c>
    </row>
    <row r="25" spans="1:5" x14ac:dyDescent="0.25">
      <c r="A25" s="1">
        <v>37986</v>
      </c>
      <c r="B25">
        <v>5260</v>
      </c>
      <c r="C25">
        <f t="shared" si="0"/>
        <v>31</v>
      </c>
      <c r="D25">
        <f t="shared" si="2"/>
        <v>182</v>
      </c>
      <c r="E25" t="str">
        <f t="shared" si="1"/>
        <v>grudzień</v>
      </c>
    </row>
    <row r="26" spans="1:5" x14ac:dyDescent="0.25">
      <c r="A26" s="1">
        <v>38017</v>
      </c>
      <c r="B26">
        <v>5508</v>
      </c>
      <c r="C26">
        <f t="shared" si="0"/>
        <v>31</v>
      </c>
      <c r="D26">
        <f t="shared" si="2"/>
        <v>248</v>
      </c>
      <c r="E26" t="str">
        <f t="shared" si="1"/>
        <v>styczeń</v>
      </c>
    </row>
    <row r="27" spans="1:5" x14ac:dyDescent="0.25">
      <c r="A27" s="1">
        <v>38045</v>
      </c>
      <c r="B27">
        <v>5754</v>
      </c>
      <c r="C27">
        <f t="shared" si="0"/>
        <v>28</v>
      </c>
      <c r="D27">
        <f t="shared" si="2"/>
        <v>246</v>
      </c>
      <c r="E27" t="str">
        <f t="shared" si="1"/>
        <v>luty</v>
      </c>
    </row>
    <row r="28" spans="1:5" x14ac:dyDescent="0.25">
      <c r="A28" s="1">
        <v>38077</v>
      </c>
      <c r="B28">
        <v>5945</v>
      </c>
      <c r="C28">
        <f t="shared" si="0"/>
        <v>31</v>
      </c>
      <c r="D28">
        <f t="shared" si="2"/>
        <v>191</v>
      </c>
      <c r="E28" t="str">
        <f t="shared" si="1"/>
        <v>marzec</v>
      </c>
    </row>
    <row r="29" spans="1:5" x14ac:dyDescent="0.25">
      <c r="A29" s="1">
        <v>38107</v>
      </c>
      <c r="B29">
        <v>6050</v>
      </c>
      <c r="C29">
        <f t="shared" si="0"/>
        <v>30</v>
      </c>
      <c r="D29">
        <f t="shared" si="2"/>
        <v>105</v>
      </c>
      <c r="E29" t="str">
        <f t="shared" si="1"/>
        <v>kwiecień</v>
      </c>
    </row>
    <row r="30" spans="1:5" x14ac:dyDescent="0.25">
      <c r="A30" s="1">
        <v>38138</v>
      </c>
      <c r="B30">
        <v>6146</v>
      </c>
      <c r="C30">
        <f t="shared" si="0"/>
        <v>31</v>
      </c>
      <c r="D30">
        <f t="shared" si="2"/>
        <v>96</v>
      </c>
      <c r="E30" t="str">
        <f t="shared" si="1"/>
        <v>maj</v>
      </c>
    </row>
    <row r="31" spans="1:5" x14ac:dyDescent="0.25">
      <c r="A31" s="1">
        <v>38168</v>
      </c>
      <c r="B31">
        <v>6173</v>
      </c>
      <c r="C31">
        <f t="shared" si="0"/>
        <v>30</v>
      </c>
      <c r="D31">
        <f t="shared" si="2"/>
        <v>27</v>
      </c>
      <c r="E31" t="str">
        <f t="shared" si="1"/>
        <v>czerwiec</v>
      </c>
    </row>
    <row r="32" spans="1:5" x14ac:dyDescent="0.25">
      <c r="A32" s="1">
        <v>38199</v>
      </c>
      <c r="B32">
        <v>6183</v>
      </c>
      <c r="C32">
        <f t="shared" si="0"/>
        <v>31</v>
      </c>
      <c r="D32">
        <f t="shared" si="2"/>
        <v>10</v>
      </c>
      <c r="E32" t="str">
        <f t="shared" si="1"/>
        <v>lipiec</v>
      </c>
    </row>
    <row r="33" spans="1:5" x14ac:dyDescent="0.25">
      <c r="A33" s="1">
        <v>38230</v>
      </c>
      <c r="B33">
        <v>6195</v>
      </c>
      <c r="C33">
        <f t="shared" si="0"/>
        <v>31</v>
      </c>
      <c r="D33">
        <f t="shared" si="2"/>
        <v>12</v>
      </c>
      <c r="E33" t="str">
        <f t="shared" si="1"/>
        <v>sierpień</v>
      </c>
    </row>
    <row r="34" spans="1:5" x14ac:dyDescent="0.25">
      <c r="A34" s="1">
        <v>38260</v>
      </c>
      <c r="B34">
        <v>6304</v>
      </c>
      <c r="C34">
        <f t="shared" si="0"/>
        <v>30</v>
      </c>
      <c r="D34">
        <f t="shared" si="2"/>
        <v>109</v>
      </c>
      <c r="E34" t="str">
        <f t="shared" si="1"/>
        <v>wrzesień</v>
      </c>
    </row>
    <row r="35" spans="1:5" x14ac:dyDescent="0.25">
      <c r="A35" s="1">
        <v>38291</v>
      </c>
      <c r="B35">
        <v>6459</v>
      </c>
      <c r="C35">
        <f t="shared" si="0"/>
        <v>31</v>
      </c>
      <c r="D35">
        <f t="shared" si="2"/>
        <v>155</v>
      </c>
      <c r="E35" t="str">
        <f t="shared" si="1"/>
        <v>październik</v>
      </c>
    </row>
    <row r="36" spans="1:5" x14ac:dyDescent="0.25">
      <c r="A36" s="1">
        <v>38321</v>
      </c>
      <c r="B36">
        <v>6737</v>
      </c>
      <c r="C36">
        <f t="shared" si="0"/>
        <v>30</v>
      </c>
      <c r="D36">
        <f t="shared" si="2"/>
        <v>278</v>
      </c>
      <c r="E36" t="str">
        <f t="shared" si="1"/>
        <v>listopad</v>
      </c>
    </row>
    <row r="37" spans="1:5" x14ac:dyDescent="0.25">
      <c r="A37" s="1">
        <v>38352</v>
      </c>
      <c r="B37">
        <v>6997</v>
      </c>
      <c r="C37">
        <f t="shared" si="0"/>
        <v>31</v>
      </c>
      <c r="D37">
        <f t="shared" si="2"/>
        <v>260</v>
      </c>
      <c r="E37" t="str">
        <f t="shared" si="1"/>
        <v>grudzień</v>
      </c>
    </row>
    <row r="38" spans="1:5" x14ac:dyDescent="0.25">
      <c r="A38" s="1">
        <v>38383</v>
      </c>
      <c r="B38">
        <v>7247</v>
      </c>
      <c r="C38">
        <f t="shared" si="0"/>
        <v>31</v>
      </c>
      <c r="D38">
        <f t="shared" si="2"/>
        <v>250</v>
      </c>
      <c r="E38" t="str">
        <f t="shared" si="1"/>
        <v>styczeń</v>
      </c>
    </row>
    <row r="39" spans="1:5" x14ac:dyDescent="0.25">
      <c r="A39" s="1">
        <v>38411</v>
      </c>
      <c r="B39">
        <v>7399</v>
      </c>
      <c r="C39">
        <f t="shared" si="0"/>
        <v>28</v>
      </c>
      <c r="D39">
        <f t="shared" si="2"/>
        <v>152</v>
      </c>
      <c r="E39" t="str">
        <f t="shared" si="1"/>
        <v>luty</v>
      </c>
    </row>
    <row r="40" spans="1:5" x14ac:dyDescent="0.25">
      <c r="A40" s="1">
        <v>38442</v>
      </c>
      <c r="B40">
        <v>7584</v>
      </c>
      <c r="C40">
        <f t="shared" si="0"/>
        <v>31</v>
      </c>
      <c r="D40">
        <f t="shared" si="2"/>
        <v>185</v>
      </c>
      <c r="E40" t="str">
        <f t="shared" si="1"/>
        <v>marzec</v>
      </c>
    </row>
    <row r="41" spans="1:5" x14ac:dyDescent="0.25">
      <c r="A41" s="1">
        <v>38472</v>
      </c>
      <c r="B41">
        <v>7745</v>
      </c>
      <c r="C41">
        <f t="shared" si="0"/>
        <v>30</v>
      </c>
      <c r="D41">
        <f t="shared" si="2"/>
        <v>161</v>
      </c>
      <c r="E41" t="str">
        <f t="shared" si="1"/>
        <v>kwiecień</v>
      </c>
    </row>
    <row r="42" spans="1:5" x14ac:dyDescent="0.25">
      <c r="A42" s="1">
        <v>38503</v>
      </c>
      <c r="B42">
        <v>7935</v>
      </c>
      <c r="C42">
        <f t="shared" si="0"/>
        <v>31</v>
      </c>
      <c r="D42">
        <f t="shared" si="2"/>
        <v>190</v>
      </c>
      <c r="E42" t="str">
        <f t="shared" si="1"/>
        <v>maj</v>
      </c>
    </row>
    <row r="43" spans="1:5" x14ac:dyDescent="0.25">
      <c r="A43" s="1">
        <v>38533</v>
      </c>
      <c r="B43">
        <v>8043</v>
      </c>
      <c r="C43">
        <f t="shared" si="0"/>
        <v>30</v>
      </c>
      <c r="D43">
        <f t="shared" si="2"/>
        <v>108</v>
      </c>
      <c r="E43" t="str">
        <f t="shared" si="1"/>
        <v>czerwiec</v>
      </c>
    </row>
    <row r="44" spans="1:5" x14ac:dyDescent="0.25">
      <c r="A44" s="1">
        <v>38564</v>
      </c>
      <c r="B44">
        <v>8062</v>
      </c>
      <c r="C44">
        <f t="shared" si="0"/>
        <v>31</v>
      </c>
      <c r="D44">
        <f t="shared" si="2"/>
        <v>19</v>
      </c>
      <c r="E44" t="str">
        <f t="shared" si="1"/>
        <v>lipiec</v>
      </c>
    </row>
    <row r="45" spans="1:5" x14ac:dyDescent="0.25">
      <c r="A45" s="1">
        <v>38595</v>
      </c>
      <c r="B45">
        <v>8081</v>
      </c>
      <c r="C45">
        <f t="shared" si="0"/>
        <v>31</v>
      </c>
      <c r="D45">
        <f t="shared" si="2"/>
        <v>19</v>
      </c>
      <c r="E45" t="str">
        <f t="shared" si="1"/>
        <v>sierpień</v>
      </c>
    </row>
    <row r="46" spans="1:5" x14ac:dyDescent="0.25">
      <c r="A46" s="1">
        <v>38625</v>
      </c>
      <c r="B46">
        <v>8269</v>
      </c>
      <c r="C46">
        <f t="shared" si="0"/>
        <v>30</v>
      </c>
      <c r="D46">
        <f t="shared" si="2"/>
        <v>188</v>
      </c>
      <c r="E46" t="str">
        <f t="shared" si="1"/>
        <v>wrzesień</v>
      </c>
    </row>
    <row r="47" spans="1:5" x14ac:dyDescent="0.25">
      <c r="A47" s="1">
        <v>38656</v>
      </c>
      <c r="B47">
        <v>8465</v>
      </c>
      <c r="C47">
        <f t="shared" si="0"/>
        <v>31</v>
      </c>
      <c r="D47">
        <f t="shared" si="2"/>
        <v>196</v>
      </c>
      <c r="E47" t="str">
        <f t="shared" si="1"/>
        <v>październik</v>
      </c>
    </row>
    <row r="48" spans="1:5" x14ac:dyDescent="0.25">
      <c r="A48" s="1">
        <v>38686</v>
      </c>
      <c r="B48">
        <v>8592</v>
      </c>
      <c r="C48">
        <f t="shared" si="0"/>
        <v>30</v>
      </c>
      <c r="D48">
        <f t="shared" si="2"/>
        <v>127</v>
      </c>
      <c r="E48" t="str">
        <f t="shared" si="1"/>
        <v>listopad</v>
      </c>
    </row>
    <row r="49" spans="1:5" x14ac:dyDescent="0.25">
      <c r="A49" s="1">
        <v>38717</v>
      </c>
      <c r="B49">
        <v>8819</v>
      </c>
      <c r="C49">
        <f t="shared" si="0"/>
        <v>31</v>
      </c>
      <c r="D49">
        <f t="shared" si="2"/>
        <v>227</v>
      </c>
      <c r="E49" t="str">
        <f t="shared" si="1"/>
        <v>grudzień</v>
      </c>
    </row>
    <row r="50" spans="1:5" x14ac:dyDescent="0.25">
      <c r="A50" s="1">
        <v>38748</v>
      </c>
      <c r="B50">
        <v>9129</v>
      </c>
      <c r="C50">
        <f t="shared" si="0"/>
        <v>31</v>
      </c>
      <c r="D50">
        <f t="shared" si="2"/>
        <v>310</v>
      </c>
      <c r="E50" t="str">
        <f t="shared" si="1"/>
        <v>styczeń</v>
      </c>
    </row>
    <row r="51" spans="1:5" x14ac:dyDescent="0.25">
      <c r="A51" s="1">
        <v>38776</v>
      </c>
      <c r="B51">
        <v>9424</v>
      </c>
      <c r="C51">
        <f t="shared" si="0"/>
        <v>28</v>
      </c>
      <c r="D51">
        <f t="shared" si="2"/>
        <v>295</v>
      </c>
      <c r="E51" t="str">
        <f t="shared" si="1"/>
        <v>luty</v>
      </c>
    </row>
    <row r="52" spans="1:5" x14ac:dyDescent="0.25">
      <c r="A52" s="1">
        <v>38807</v>
      </c>
      <c r="B52">
        <v>9662</v>
      </c>
      <c r="C52">
        <f t="shared" si="0"/>
        <v>31</v>
      </c>
      <c r="D52">
        <f t="shared" si="2"/>
        <v>238</v>
      </c>
      <c r="E52" t="str">
        <f t="shared" si="1"/>
        <v>marzec</v>
      </c>
    </row>
    <row r="53" spans="1:5" x14ac:dyDescent="0.25">
      <c r="A53" s="1">
        <v>38837</v>
      </c>
      <c r="B53">
        <v>9778</v>
      </c>
      <c r="C53">
        <f t="shared" si="0"/>
        <v>30</v>
      </c>
      <c r="D53">
        <f t="shared" si="2"/>
        <v>116</v>
      </c>
      <c r="E53" t="str">
        <f t="shared" si="1"/>
        <v>kwiecień</v>
      </c>
    </row>
    <row r="54" spans="1:5" x14ac:dyDescent="0.25">
      <c r="A54" s="1">
        <v>38868</v>
      </c>
      <c r="B54">
        <v>9884</v>
      </c>
      <c r="C54">
        <f t="shared" si="0"/>
        <v>31</v>
      </c>
      <c r="D54">
        <f t="shared" si="2"/>
        <v>106</v>
      </c>
      <c r="E54" t="str">
        <f t="shared" si="1"/>
        <v>maj</v>
      </c>
    </row>
    <row r="55" spans="1:5" x14ac:dyDescent="0.25">
      <c r="A55" s="1">
        <v>38898</v>
      </c>
      <c r="B55">
        <v>9914</v>
      </c>
      <c r="C55">
        <f t="shared" si="0"/>
        <v>30</v>
      </c>
      <c r="D55">
        <f t="shared" si="2"/>
        <v>30</v>
      </c>
      <c r="E55" t="str">
        <f t="shared" si="1"/>
        <v>czerwiec</v>
      </c>
    </row>
    <row r="56" spans="1:5" x14ac:dyDescent="0.25">
      <c r="A56" s="1">
        <v>38929</v>
      </c>
      <c r="B56">
        <v>9925</v>
      </c>
      <c r="C56">
        <f t="shared" si="0"/>
        <v>31</v>
      </c>
      <c r="D56">
        <f t="shared" si="2"/>
        <v>11</v>
      </c>
      <c r="E56" t="str">
        <f t="shared" si="1"/>
        <v>lipiec</v>
      </c>
    </row>
    <row r="57" spans="1:5" x14ac:dyDescent="0.25">
      <c r="A57" s="1">
        <v>38960</v>
      </c>
      <c r="B57">
        <v>9938</v>
      </c>
      <c r="C57">
        <f t="shared" si="0"/>
        <v>31</v>
      </c>
      <c r="D57">
        <f t="shared" si="2"/>
        <v>13</v>
      </c>
      <c r="E57" t="str">
        <f t="shared" si="1"/>
        <v>sierpień</v>
      </c>
    </row>
    <row r="58" spans="1:5" x14ac:dyDescent="0.25">
      <c r="A58" s="1">
        <v>38990</v>
      </c>
      <c r="B58">
        <v>10059</v>
      </c>
      <c r="C58">
        <f t="shared" si="0"/>
        <v>30</v>
      </c>
      <c r="D58">
        <f t="shared" si="2"/>
        <v>121</v>
      </c>
      <c r="E58" t="str">
        <f t="shared" si="1"/>
        <v>wrzesień</v>
      </c>
    </row>
    <row r="59" spans="1:5" x14ac:dyDescent="0.25">
      <c r="A59" s="1">
        <v>39021</v>
      </c>
      <c r="B59">
        <v>10211</v>
      </c>
      <c r="C59">
        <f t="shared" si="0"/>
        <v>31</v>
      </c>
      <c r="D59">
        <f t="shared" si="2"/>
        <v>152</v>
      </c>
      <c r="E59" t="str">
        <f t="shared" si="1"/>
        <v>październik</v>
      </c>
    </row>
    <row r="60" spans="1:5" x14ac:dyDescent="0.25">
      <c r="A60" s="1">
        <v>39051</v>
      </c>
      <c r="B60">
        <v>10486</v>
      </c>
      <c r="C60">
        <f t="shared" si="0"/>
        <v>30</v>
      </c>
      <c r="D60">
        <f t="shared" si="2"/>
        <v>275</v>
      </c>
      <c r="E60" t="str">
        <f t="shared" si="1"/>
        <v>listopad</v>
      </c>
    </row>
    <row r="61" spans="1:5" x14ac:dyDescent="0.25">
      <c r="A61" s="1">
        <v>39082</v>
      </c>
      <c r="B61">
        <v>10742</v>
      </c>
      <c r="C61">
        <f t="shared" si="0"/>
        <v>31</v>
      </c>
      <c r="D61">
        <f t="shared" si="2"/>
        <v>256</v>
      </c>
      <c r="E61" t="str">
        <f t="shared" si="1"/>
        <v>grudzień</v>
      </c>
    </row>
    <row r="62" spans="1:5" x14ac:dyDescent="0.25">
      <c r="A62" s="1">
        <v>39113</v>
      </c>
      <c r="B62">
        <v>10988</v>
      </c>
      <c r="C62">
        <f t="shared" si="0"/>
        <v>31</v>
      </c>
      <c r="D62">
        <f t="shared" si="2"/>
        <v>246</v>
      </c>
      <c r="E62" t="str">
        <f t="shared" si="1"/>
        <v>styczeń</v>
      </c>
    </row>
    <row r="63" spans="1:5" x14ac:dyDescent="0.25">
      <c r="A63" s="1">
        <v>39141</v>
      </c>
      <c r="B63">
        <v>11138</v>
      </c>
      <c r="C63">
        <f t="shared" si="0"/>
        <v>28</v>
      </c>
      <c r="D63">
        <f t="shared" si="2"/>
        <v>150</v>
      </c>
      <c r="E63" t="str">
        <f t="shared" si="1"/>
        <v>luty</v>
      </c>
    </row>
    <row r="64" spans="1:5" x14ac:dyDescent="0.25">
      <c r="A64" s="1">
        <v>39172</v>
      </c>
      <c r="B64">
        <v>11321</v>
      </c>
      <c r="C64">
        <f t="shared" si="0"/>
        <v>31</v>
      </c>
      <c r="D64">
        <f t="shared" si="2"/>
        <v>183</v>
      </c>
      <c r="E64" t="str">
        <f t="shared" si="1"/>
        <v>marzec</v>
      </c>
    </row>
    <row r="65" spans="1:5" x14ac:dyDescent="0.25">
      <c r="A65" s="1">
        <v>39202</v>
      </c>
      <c r="B65">
        <v>11481</v>
      </c>
      <c r="C65">
        <f t="shared" si="0"/>
        <v>30</v>
      </c>
      <c r="D65">
        <f t="shared" si="2"/>
        <v>160</v>
      </c>
      <c r="E65" t="str">
        <f t="shared" si="1"/>
        <v>kwiecień</v>
      </c>
    </row>
    <row r="66" spans="1:5" x14ac:dyDescent="0.25">
      <c r="A66" s="1">
        <v>39233</v>
      </c>
      <c r="B66">
        <v>11669</v>
      </c>
      <c r="C66">
        <f t="shared" si="0"/>
        <v>31</v>
      </c>
      <c r="D66">
        <f t="shared" si="2"/>
        <v>188</v>
      </c>
      <c r="E66" t="str">
        <f t="shared" si="1"/>
        <v>maj</v>
      </c>
    </row>
    <row r="67" spans="1:5" x14ac:dyDescent="0.25">
      <c r="A67" s="1">
        <v>39263</v>
      </c>
      <c r="B67">
        <v>11776</v>
      </c>
      <c r="C67">
        <f t="shared" ref="C67:C130" si="4">DAY(A67)</f>
        <v>30</v>
      </c>
      <c r="D67">
        <f t="shared" si="2"/>
        <v>107</v>
      </c>
      <c r="E67" t="str">
        <f t="shared" ref="E67:E130" si="5">TEXT(A67,"mmmm")</f>
        <v>czerwiec</v>
      </c>
    </row>
    <row r="68" spans="1:5" x14ac:dyDescent="0.25">
      <c r="A68" s="1">
        <v>39294</v>
      </c>
      <c r="B68">
        <v>11795</v>
      </c>
      <c r="C68">
        <f t="shared" si="4"/>
        <v>31</v>
      </c>
      <c r="D68">
        <f t="shared" ref="D68:D131" si="6">(B68-B67)</f>
        <v>19</v>
      </c>
      <c r="E68" t="str">
        <f t="shared" si="5"/>
        <v>lipiec</v>
      </c>
    </row>
    <row r="69" spans="1:5" x14ac:dyDescent="0.25">
      <c r="A69" s="1">
        <v>39325</v>
      </c>
      <c r="B69">
        <v>11814</v>
      </c>
      <c r="C69">
        <f t="shared" si="4"/>
        <v>31</v>
      </c>
      <c r="D69">
        <f t="shared" si="6"/>
        <v>19</v>
      </c>
      <c r="E69" t="str">
        <f t="shared" si="5"/>
        <v>sierpień</v>
      </c>
    </row>
    <row r="70" spans="1:5" x14ac:dyDescent="0.25">
      <c r="A70" s="1">
        <v>39355</v>
      </c>
      <c r="B70">
        <v>11901</v>
      </c>
      <c r="C70">
        <f t="shared" si="4"/>
        <v>30</v>
      </c>
      <c r="D70">
        <f t="shared" si="6"/>
        <v>87</v>
      </c>
      <c r="E70" t="str">
        <f t="shared" si="5"/>
        <v>wrzesień</v>
      </c>
    </row>
    <row r="71" spans="1:5" x14ac:dyDescent="0.25">
      <c r="A71" s="1">
        <v>39386</v>
      </c>
      <c r="B71">
        <v>12044</v>
      </c>
      <c r="C71">
        <f t="shared" si="4"/>
        <v>31</v>
      </c>
      <c r="D71">
        <f t="shared" si="6"/>
        <v>143</v>
      </c>
      <c r="E71" t="str">
        <f t="shared" si="5"/>
        <v>październik</v>
      </c>
    </row>
    <row r="72" spans="1:5" x14ac:dyDescent="0.25">
      <c r="A72" s="1">
        <v>39416</v>
      </c>
      <c r="B72">
        <v>12170</v>
      </c>
      <c r="C72">
        <f t="shared" si="4"/>
        <v>30</v>
      </c>
      <c r="D72">
        <f t="shared" si="6"/>
        <v>126</v>
      </c>
      <c r="E72" t="str">
        <f t="shared" si="5"/>
        <v>listopad</v>
      </c>
    </row>
    <row r="73" spans="1:5" x14ac:dyDescent="0.25">
      <c r="A73" s="1">
        <v>39447</v>
      </c>
      <c r="B73">
        <v>12395</v>
      </c>
      <c r="C73">
        <f t="shared" si="4"/>
        <v>31</v>
      </c>
      <c r="D73">
        <f t="shared" si="6"/>
        <v>225</v>
      </c>
      <c r="E73" t="str">
        <f t="shared" si="5"/>
        <v>grudzień</v>
      </c>
    </row>
    <row r="74" spans="1:5" x14ac:dyDescent="0.25">
      <c r="A74" s="1">
        <v>39478</v>
      </c>
      <c r="B74">
        <v>12702</v>
      </c>
      <c r="C74">
        <f t="shared" si="4"/>
        <v>31</v>
      </c>
      <c r="D74">
        <f t="shared" si="6"/>
        <v>307</v>
      </c>
      <c r="E74" t="str">
        <f t="shared" si="5"/>
        <v>styczeń</v>
      </c>
    </row>
    <row r="75" spans="1:5" x14ac:dyDescent="0.25">
      <c r="A75" s="1">
        <v>39506</v>
      </c>
      <c r="B75">
        <v>13025</v>
      </c>
      <c r="C75">
        <f t="shared" si="4"/>
        <v>28</v>
      </c>
      <c r="D75">
        <f t="shared" si="6"/>
        <v>323</v>
      </c>
      <c r="E75" t="str">
        <f t="shared" si="5"/>
        <v>luty</v>
      </c>
    </row>
    <row r="76" spans="1:5" x14ac:dyDescent="0.25">
      <c r="A76" s="1">
        <v>39538</v>
      </c>
      <c r="B76">
        <v>13261</v>
      </c>
      <c r="C76">
        <f t="shared" si="4"/>
        <v>31</v>
      </c>
      <c r="D76">
        <f t="shared" si="6"/>
        <v>236</v>
      </c>
      <c r="E76" t="str">
        <f t="shared" si="5"/>
        <v>marzec</v>
      </c>
    </row>
    <row r="77" spans="1:5" x14ac:dyDescent="0.25">
      <c r="A77" s="1">
        <v>39568</v>
      </c>
      <c r="B77">
        <v>13376</v>
      </c>
      <c r="C77">
        <f t="shared" si="4"/>
        <v>30</v>
      </c>
      <c r="D77">
        <f t="shared" si="6"/>
        <v>115</v>
      </c>
      <c r="E77" t="str">
        <f t="shared" si="5"/>
        <v>kwiecień</v>
      </c>
    </row>
    <row r="78" spans="1:5" x14ac:dyDescent="0.25">
      <c r="A78" s="1">
        <v>39599</v>
      </c>
      <c r="B78">
        <v>13478</v>
      </c>
      <c r="C78">
        <f t="shared" si="4"/>
        <v>31</v>
      </c>
      <c r="D78">
        <f t="shared" si="6"/>
        <v>102</v>
      </c>
      <c r="E78" t="str">
        <f t="shared" si="5"/>
        <v>maj</v>
      </c>
    </row>
    <row r="79" spans="1:5" x14ac:dyDescent="0.25">
      <c r="A79" s="1">
        <v>39629</v>
      </c>
      <c r="B79">
        <v>13506</v>
      </c>
      <c r="C79">
        <f t="shared" si="4"/>
        <v>30</v>
      </c>
      <c r="D79">
        <f t="shared" si="6"/>
        <v>28</v>
      </c>
      <c r="E79" t="str">
        <f t="shared" si="5"/>
        <v>czerwiec</v>
      </c>
    </row>
    <row r="80" spans="1:5" x14ac:dyDescent="0.25">
      <c r="A80" s="1">
        <v>39660</v>
      </c>
      <c r="B80">
        <v>13516</v>
      </c>
      <c r="C80">
        <f t="shared" si="4"/>
        <v>31</v>
      </c>
      <c r="D80">
        <f t="shared" si="6"/>
        <v>10</v>
      </c>
      <c r="E80" t="str">
        <f t="shared" si="5"/>
        <v>lipiec</v>
      </c>
    </row>
    <row r="81" spans="1:5" x14ac:dyDescent="0.25">
      <c r="A81" s="1">
        <v>39691</v>
      </c>
      <c r="B81">
        <v>13529</v>
      </c>
      <c r="C81">
        <f t="shared" si="4"/>
        <v>31</v>
      </c>
      <c r="D81">
        <f t="shared" si="6"/>
        <v>13</v>
      </c>
      <c r="E81" t="str">
        <f t="shared" si="5"/>
        <v>sierpień</v>
      </c>
    </row>
    <row r="82" spans="1:5" x14ac:dyDescent="0.25">
      <c r="A82" s="1">
        <v>39721</v>
      </c>
      <c r="B82">
        <v>13645</v>
      </c>
      <c r="C82">
        <f t="shared" si="4"/>
        <v>30</v>
      </c>
      <c r="D82">
        <f t="shared" si="6"/>
        <v>116</v>
      </c>
      <c r="E82" t="str">
        <f t="shared" si="5"/>
        <v>wrzesień</v>
      </c>
    </row>
    <row r="83" spans="1:5" x14ac:dyDescent="0.25">
      <c r="A83" s="1">
        <v>39752</v>
      </c>
      <c r="B83">
        <v>13791</v>
      </c>
      <c r="C83">
        <f t="shared" si="4"/>
        <v>31</v>
      </c>
      <c r="D83">
        <f t="shared" si="6"/>
        <v>146</v>
      </c>
      <c r="E83" t="str">
        <f t="shared" si="5"/>
        <v>październik</v>
      </c>
    </row>
    <row r="84" spans="1:5" x14ac:dyDescent="0.25">
      <c r="A84" s="1">
        <v>39782</v>
      </c>
      <c r="B84">
        <v>14055</v>
      </c>
      <c r="C84">
        <f t="shared" si="4"/>
        <v>30</v>
      </c>
      <c r="D84">
        <f t="shared" si="6"/>
        <v>264</v>
      </c>
      <c r="E84" t="str">
        <f t="shared" si="5"/>
        <v>listopad</v>
      </c>
    </row>
    <row r="85" spans="1:5" x14ac:dyDescent="0.25">
      <c r="A85" s="1">
        <v>39813</v>
      </c>
      <c r="B85">
        <v>14301</v>
      </c>
      <c r="C85">
        <f t="shared" si="4"/>
        <v>31</v>
      </c>
      <c r="D85">
        <f t="shared" si="6"/>
        <v>246</v>
      </c>
      <c r="E85" t="str">
        <f t="shared" si="5"/>
        <v>grudzień</v>
      </c>
    </row>
    <row r="86" spans="1:5" x14ac:dyDescent="0.25">
      <c r="A86" s="1">
        <v>39844</v>
      </c>
      <c r="B86">
        <v>14537</v>
      </c>
      <c r="C86">
        <f t="shared" si="4"/>
        <v>31</v>
      </c>
      <c r="D86">
        <f t="shared" si="6"/>
        <v>236</v>
      </c>
      <c r="E86" t="str">
        <f t="shared" si="5"/>
        <v>styczeń</v>
      </c>
    </row>
    <row r="87" spans="1:5" x14ac:dyDescent="0.25">
      <c r="A87" s="1">
        <v>39872</v>
      </c>
      <c r="B87">
        <v>14827</v>
      </c>
      <c r="C87">
        <f t="shared" si="4"/>
        <v>28</v>
      </c>
      <c r="D87">
        <f t="shared" si="6"/>
        <v>290</v>
      </c>
      <c r="E87" t="str">
        <f t="shared" si="5"/>
        <v>luty</v>
      </c>
    </row>
    <row r="88" spans="1:5" x14ac:dyDescent="0.25">
      <c r="A88" s="1">
        <v>39903</v>
      </c>
      <c r="B88">
        <v>15002</v>
      </c>
      <c r="C88">
        <f t="shared" si="4"/>
        <v>31</v>
      </c>
      <c r="D88">
        <f t="shared" si="6"/>
        <v>175</v>
      </c>
      <c r="E88" t="str">
        <f t="shared" si="5"/>
        <v>marzec</v>
      </c>
    </row>
    <row r="89" spans="1:5" x14ac:dyDescent="0.25">
      <c r="A89" s="1">
        <v>39933</v>
      </c>
      <c r="B89">
        <v>15155</v>
      </c>
      <c r="C89">
        <f t="shared" si="4"/>
        <v>30</v>
      </c>
      <c r="D89">
        <f t="shared" si="6"/>
        <v>153</v>
      </c>
      <c r="E89" t="str">
        <f t="shared" si="5"/>
        <v>kwiecień</v>
      </c>
    </row>
    <row r="90" spans="1:5" x14ac:dyDescent="0.25">
      <c r="A90" s="1">
        <v>39964</v>
      </c>
      <c r="B90">
        <v>15335</v>
      </c>
      <c r="C90">
        <f t="shared" si="4"/>
        <v>31</v>
      </c>
      <c r="D90">
        <f t="shared" si="6"/>
        <v>180</v>
      </c>
      <c r="E90" t="str">
        <f t="shared" si="5"/>
        <v>maj</v>
      </c>
    </row>
    <row r="91" spans="1:5" x14ac:dyDescent="0.25">
      <c r="A91" s="1">
        <v>39994</v>
      </c>
      <c r="B91">
        <v>15437</v>
      </c>
      <c r="C91">
        <f t="shared" si="4"/>
        <v>30</v>
      </c>
      <c r="D91">
        <f t="shared" si="6"/>
        <v>102</v>
      </c>
      <c r="E91" t="str">
        <f t="shared" si="5"/>
        <v>czerwiec</v>
      </c>
    </row>
    <row r="92" spans="1:5" x14ac:dyDescent="0.25">
      <c r="A92" s="1">
        <v>40025</v>
      </c>
      <c r="B92">
        <v>15455</v>
      </c>
      <c r="C92">
        <f t="shared" si="4"/>
        <v>31</v>
      </c>
      <c r="D92">
        <f t="shared" si="6"/>
        <v>18</v>
      </c>
      <c r="E92" t="str">
        <f t="shared" si="5"/>
        <v>lipiec</v>
      </c>
    </row>
    <row r="93" spans="1:5" x14ac:dyDescent="0.25">
      <c r="A93" s="1">
        <v>40056</v>
      </c>
      <c r="B93">
        <v>15474</v>
      </c>
      <c r="C93">
        <f t="shared" si="4"/>
        <v>31</v>
      </c>
      <c r="D93">
        <f t="shared" si="6"/>
        <v>19</v>
      </c>
      <c r="E93" t="str">
        <f t="shared" si="5"/>
        <v>sierpień</v>
      </c>
    </row>
    <row r="94" spans="1:5" x14ac:dyDescent="0.25">
      <c r="A94" s="1">
        <v>40086</v>
      </c>
      <c r="B94">
        <v>15557</v>
      </c>
      <c r="C94">
        <f t="shared" si="4"/>
        <v>30</v>
      </c>
      <c r="D94">
        <f t="shared" si="6"/>
        <v>83</v>
      </c>
      <c r="E94" t="str">
        <f t="shared" si="5"/>
        <v>wrzesień</v>
      </c>
    </row>
    <row r="95" spans="1:5" x14ac:dyDescent="0.25">
      <c r="A95" s="1">
        <v>40117</v>
      </c>
      <c r="B95">
        <v>15694</v>
      </c>
      <c r="C95">
        <f t="shared" si="4"/>
        <v>31</v>
      </c>
      <c r="D95">
        <f t="shared" si="6"/>
        <v>137</v>
      </c>
      <c r="E95" t="str">
        <f t="shared" si="5"/>
        <v>październik</v>
      </c>
    </row>
    <row r="96" spans="1:5" x14ac:dyDescent="0.25">
      <c r="A96" s="1">
        <v>40147</v>
      </c>
      <c r="B96">
        <v>15835</v>
      </c>
      <c r="C96">
        <f t="shared" si="4"/>
        <v>30</v>
      </c>
      <c r="D96">
        <f t="shared" si="6"/>
        <v>141</v>
      </c>
      <c r="E96" t="str">
        <f t="shared" si="5"/>
        <v>listopad</v>
      </c>
    </row>
    <row r="97" spans="1:5" x14ac:dyDescent="0.25">
      <c r="A97" s="1">
        <v>40178</v>
      </c>
      <c r="B97">
        <v>16087</v>
      </c>
      <c r="C97">
        <f t="shared" si="4"/>
        <v>31</v>
      </c>
      <c r="D97">
        <f t="shared" si="6"/>
        <v>252</v>
      </c>
      <c r="E97" t="str">
        <f t="shared" si="5"/>
        <v>grudzień</v>
      </c>
    </row>
    <row r="98" spans="1:5" x14ac:dyDescent="0.25">
      <c r="A98" s="1">
        <v>40209</v>
      </c>
      <c r="B98">
        <v>16431</v>
      </c>
      <c r="C98">
        <f t="shared" si="4"/>
        <v>31</v>
      </c>
      <c r="D98">
        <f t="shared" si="6"/>
        <v>344</v>
      </c>
      <c r="E98" t="str">
        <f t="shared" si="5"/>
        <v>styczeń</v>
      </c>
    </row>
    <row r="99" spans="1:5" x14ac:dyDescent="0.25">
      <c r="A99" s="3">
        <v>40237</v>
      </c>
      <c r="B99">
        <v>16792</v>
      </c>
      <c r="C99">
        <f t="shared" si="4"/>
        <v>28</v>
      </c>
      <c r="D99">
        <f t="shared" si="6"/>
        <v>361</v>
      </c>
      <c r="E99" t="str">
        <f t="shared" si="5"/>
        <v>luty</v>
      </c>
    </row>
    <row r="100" spans="1:5" x14ac:dyDescent="0.25">
      <c r="A100" s="1">
        <v>40268</v>
      </c>
      <c r="B100">
        <v>17057</v>
      </c>
      <c r="C100">
        <f t="shared" si="4"/>
        <v>31</v>
      </c>
      <c r="D100">
        <f t="shared" si="6"/>
        <v>265</v>
      </c>
      <c r="E100" t="str">
        <f t="shared" si="5"/>
        <v>marzec</v>
      </c>
    </row>
    <row r="101" spans="1:5" x14ac:dyDescent="0.25">
      <c r="A101" s="1">
        <v>40298</v>
      </c>
      <c r="B101">
        <v>17186</v>
      </c>
      <c r="C101">
        <f t="shared" si="4"/>
        <v>30</v>
      </c>
      <c r="D101">
        <f t="shared" si="6"/>
        <v>129</v>
      </c>
      <c r="E101" t="str">
        <f t="shared" si="5"/>
        <v>kwiecień</v>
      </c>
    </row>
    <row r="102" spans="1:5" x14ac:dyDescent="0.25">
      <c r="A102" s="1">
        <v>40329</v>
      </c>
      <c r="B102">
        <v>17301</v>
      </c>
      <c r="C102">
        <f t="shared" si="4"/>
        <v>31</v>
      </c>
      <c r="D102">
        <f t="shared" si="6"/>
        <v>115</v>
      </c>
      <c r="E102" t="str">
        <f t="shared" si="5"/>
        <v>maj</v>
      </c>
    </row>
    <row r="103" spans="1:5" x14ac:dyDescent="0.25">
      <c r="A103" s="1">
        <v>40359</v>
      </c>
      <c r="B103">
        <v>17332</v>
      </c>
      <c r="C103">
        <f t="shared" si="4"/>
        <v>30</v>
      </c>
      <c r="D103">
        <f t="shared" si="6"/>
        <v>31</v>
      </c>
      <c r="E103" t="str">
        <f t="shared" si="5"/>
        <v>czerwiec</v>
      </c>
    </row>
    <row r="104" spans="1:5" x14ac:dyDescent="0.25">
      <c r="A104" s="1">
        <v>40390</v>
      </c>
      <c r="B104">
        <v>17352</v>
      </c>
      <c r="C104">
        <f t="shared" si="4"/>
        <v>31</v>
      </c>
      <c r="D104">
        <f t="shared" si="6"/>
        <v>20</v>
      </c>
      <c r="E104" t="str">
        <f t="shared" si="5"/>
        <v>lipiec</v>
      </c>
    </row>
    <row r="105" spans="1:5" x14ac:dyDescent="0.25">
      <c r="A105" s="1">
        <v>40421</v>
      </c>
      <c r="B105">
        <v>17367</v>
      </c>
      <c r="C105">
        <f t="shared" si="4"/>
        <v>31</v>
      </c>
      <c r="D105">
        <f t="shared" si="6"/>
        <v>15</v>
      </c>
      <c r="E105" t="str">
        <f t="shared" si="5"/>
        <v>sierpień</v>
      </c>
    </row>
    <row r="106" spans="1:5" x14ac:dyDescent="0.25">
      <c r="A106" s="1">
        <v>40451</v>
      </c>
      <c r="B106">
        <v>17517</v>
      </c>
      <c r="C106">
        <f t="shared" si="4"/>
        <v>30</v>
      </c>
      <c r="D106">
        <f t="shared" si="6"/>
        <v>150</v>
      </c>
      <c r="E106" t="str">
        <f t="shared" si="5"/>
        <v>wrzesień</v>
      </c>
    </row>
    <row r="107" spans="1:5" x14ac:dyDescent="0.25">
      <c r="A107" s="1">
        <v>40482</v>
      </c>
      <c r="B107">
        <v>17708</v>
      </c>
      <c r="C107">
        <f t="shared" si="4"/>
        <v>31</v>
      </c>
      <c r="D107">
        <f t="shared" si="6"/>
        <v>191</v>
      </c>
      <c r="E107" t="str">
        <f t="shared" si="5"/>
        <v>październik</v>
      </c>
    </row>
    <row r="108" spans="1:5" x14ac:dyDescent="0.25">
      <c r="A108" s="1">
        <v>40512</v>
      </c>
      <c r="B108">
        <v>18052</v>
      </c>
      <c r="C108">
        <f t="shared" si="4"/>
        <v>30</v>
      </c>
      <c r="D108">
        <f t="shared" si="6"/>
        <v>344</v>
      </c>
      <c r="E108" t="str">
        <f t="shared" si="5"/>
        <v>listopad</v>
      </c>
    </row>
    <row r="109" spans="1:5" x14ac:dyDescent="0.25">
      <c r="A109" s="1">
        <v>40543</v>
      </c>
      <c r="B109">
        <v>18372</v>
      </c>
      <c r="C109">
        <f t="shared" si="4"/>
        <v>31</v>
      </c>
      <c r="D109">
        <f t="shared" si="6"/>
        <v>320</v>
      </c>
      <c r="E109" t="str">
        <f t="shared" si="5"/>
        <v>grudzień</v>
      </c>
    </row>
    <row r="110" spans="1:5" x14ac:dyDescent="0.25">
      <c r="A110" s="1">
        <v>40574</v>
      </c>
      <c r="B110">
        <v>18680</v>
      </c>
      <c r="C110">
        <f t="shared" si="4"/>
        <v>31</v>
      </c>
      <c r="D110">
        <f t="shared" si="6"/>
        <v>308</v>
      </c>
      <c r="E110" t="str">
        <f t="shared" si="5"/>
        <v>styczeń</v>
      </c>
    </row>
    <row r="111" spans="1:5" x14ac:dyDescent="0.25">
      <c r="A111" s="3">
        <v>40602</v>
      </c>
      <c r="B111">
        <v>19057</v>
      </c>
      <c r="C111">
        <f t="shared" si="4"/>
        <v>28</v>
      </c>
      <c r="D111">
        <f t="shared" si="6"/>
        <v>377</v>
      </c>
      <c r="E111" t="str">
        <f t="shared" si="5"/>
        <v>luty</v>
      </c>
    </row>
    <row r="112" spans="1:5" x14ac:dyDescent="0.25">
      <c r="A112" s="1">
        <v>40633</v>
      </c>
      <c r="B112">
        <v>19285</v>
      </c>
      <c r="C112">
        <f t="shared" si="4"/>
        <v>31</v>
      </c>
      <c r="D112">
        <f t="shared" si="6"/>
        <v>228</v>
      </c>
      <c r="E112" t="str">
        <f t="shared" si="5"/>
        <v>marzec</v>
      </c>
    </row>
    <row r="113" spans="1:5" x14ac:dyDescent="0.25">
      <c r="A113" s="1">
        <v>40663</v>
      </c>
      <c r="B113">
        <v>19431</v>
      </c>
      <c r="C113">
        <f t="shared" si="4"/>
        <v>30</v>
      </c>
      <c r="D113">
        <f t="shared" si="6"/>
        <v>146</v>
      </c>
      <c r="E113" t="str">
        <f t="shared" si="5"/>
        <v>kwiecień</v>
      </c>
    </row>
    <row r="114" spans="1:5" x14ac:dyDescent="0.25">
      <c r="A114" s="1">
        <v>40694</v>
      </c>
      <c r="B114">
        <v>19604</v>
      </c>
      <c r="C114">
        <f t="shared" si="4"/>
        <v>31</v>
      </c>
      <c r="D114">
        <f t="shared" si="6"/>
        <v>173</v>
      </c>
      <c r="E114" t="str">
        <f t="shared" si="5"/>
        <v>maj</v>
      </c>
    </row>
    <row r="115" spans="1:5" x14ac:dyDescent="0.25">
      <c r="A115" s="1">
        <v>40724</v>
      </c>
      <c r="B115">
        <v>19702</v>
      </c>
      <c r="C115">
        <f t="shared" si="4"/>
        <v>30</v>
      </c>
      <c r="D115">
        <f t="shared" si="6"/>
        <v>98</v>
      </c>
      <c r="E115" t="str">
        <f t="shared" si="5"/>
        <v>czerwiec</v>
      </c>
    </row>
    <row r="116" spans="1:5" x14ac:dyDescent="0.25">
      <c r="A116" s="1">
        <v>40755</v>
      </c>
      <c r="B116">
        <v>19718</v>
      </c>
      <c r="C116">
        <f t="shared" si="4"/>
        <v>31</v>
      </c>
      <c r="D116">
        <f t="shared" si="6"/>
        <v>16</v>
      </c>
      <c r="E116" t="str">
        <f t="shared" si="5"/>
        <v>lipiec</v>
      </c>
    </row>
    <row r="117" spans="1:5" x14ac:dyDescent="0.25">
      <c r="A117" s="1">
        <v>40786</v>
      </c>
      <c r="B117">
        <v>19735</v>
      </c>
      <c r="C117">
        <f t="shared" si="4"/>
        <v>31</v>
      </c>
      <c r="D117">
        <f t="shared" si="6"/>
        <v>17</v>
      </c>
      <c r="E117" t="str">
        <f t="shared" si="5"/>
        <v>sierpień</v>
      </c>
    </row>
    <row r="118" spans="1:5" x14ac:dyDescent="0.25">
      <c r="A118" s="1">
        <v>40816</v>
      </c>
      <c r="B118">
        <v>19815</v>
      </c>
      <c r="C118">
        <f t="shared" si="4"/>
        <v>30</v>
      </c>
      <c r="D118">
        <f t="shared" si="6"/>
        <v>80</v>
      </c>
      <c r="E118" t="str">
        <f t="shared" si="5"/>
        <v>wrzesień</v>
      </c>
    </row>
    <row r="119" spans="1:5" x14ac:dyDescent="0.25">
      <c r="A119" s="1">
        <v>40847</v>
      </c>
      <c r="B119">
        <v>19946</v>
      </c>
      <c r="C119">
        <f t="shared" si="4"/>
        <v>31</v>
      </c>
      <c r="D119">
        <f t="shared" si="6"/>
        <v>131</v>
      </c>
      <c r="E119" t="str">
        <f t="shared" si="5"/>
        <v>październik</v>
      </c>
    </row>
    <row r="120" spans="1:5" x14ac:dyDescent="0.25">
      <c r="A120" s="1">
        <v>40877</v>
      </c>
      <c r="B120">
        <v>20081</v>
      </c>
      <c r="C120">
        <f t="shared" si="4"/>
        <v>30</v>
      </c>
      <c r="D120">
        <f t="shared" si="6"/>
        <v>135</v>
      </c>
      <c r="E120" t="str">
        <f t="shared" si="5"/>
        <v>listopad</v>
      </c>
    </row>
    <row r="121" spans="1:5" x14ac:dyDescent="0.25">
      <c r="A121" s="1">
        <v>40908</v>
      </c>
      <c r="B121">
        <v>20323</v>
      </c>
      <c r="C121">
        <f t="shared" si="4"/>
        <v>31</v>
      </c>
      <c r="D121">
        <f t="shared" si="6"/>
        <v>242</v>
      </c>
      <c r="E121" t="str">
        <f t="shared" si="5"/>
        <v>grudzień</v>
      </c>
    </row>
    <row r="122" spans="1:5" x14ac:dyDescent="0.25">
      <c r="A122" s="1">
        <v>40939</v>
      </c>
      <c r="B122">
        <v>20653</v>
      </c>
      <c r="C122">
        <f t="shared" si="4"/>
        <v>31</v>
      </c>
      <c r="D122">
        <f t="shared" si="6"/>
        <v>330</v>
      </c>
      <c r="E122" t="str">
        <f t="shared" si="5"/>
        <v>styczeń</v>
      </c>
    </row>
    <row r="123" spans="1:5" x14ac:dyDescent="0.25">
      <c r="A123" s="3">
        <v>40967</v>
      </c>
      <c r="B123">
        <v>21000</v>
      </c>
      <c r="C123">
        <f t="shared" si="4"/>
        <v>28</v>
      </c>
      <c r="D123">
        <f t="shared" si="6"/>
        <v>347</v>
      </c>
      <c r="E123" t="str">
        <f t="shared" si="5"/>
        <v>luty</v>
      </c>
    </row>
    <row r="124" spans="1:5" x14ac:dyDescent="0.25">
      <c r="A124" s="1">
        <v>40999</v>
      </c>
      <c r="B124">
        <v>21254</v>
      </c>
      <c r="C124">
        <f t="shared" si="4"/>
        <v>31</v>
      </c>
      <c r="D124">
        <f t="shared" si="6"/>
        <v>254</v>
      </c>
      <c r="E124" t="str">
        <f t="shared" si="5"/>
        <v>marzec</v>
      </c>
    </row>
    <row r="125" spans="1:5" x14ac:dyDescent="0.25">
      <c r="A125" s="1">
        <v>41029</v>
      </c>
      <c r="B125">
        <v>21377</v>
      </c>
      <c r="C125">
        <f t="shared" si="4"/>
        <v>30</v>
      </c>
      <c r="D125">
        <f t="shared" si="6"/>
        <v>123</v>
      </c>
      <c r="E125" t="str">
        <f t="shared" si="5"/>
        <v>kwiecień</v>
      </c>
    </row>
    <row r="126" spans="1:5" x14ac:dyDescent="0.25">
      <c r="A126" s="1">
        <v>41060</v>
      </c>
      <c r="B126">
        <v>21487</v>
      </c>
      <c r="C126">
        <f t="shared" si="4"/>
        <v>31</v>
      </c>
      <c r="D126">
        <f t="shared" si="6"/>
        <v>110</v>
      </c>
      <c r="E126" t="str">
        <f t="shared" si="5"/>
        <v>maj</v>
      </c>
    </row>
    <row r="127" spans="1:5" x14ac:dyDescent="0.25">
      <c r="A127" s="1">
        <v>41090</v>
      </c>
      <c r="B127">
        <v>21517</v>
      </c>
      <c r="C127">
        <f t="shared" si="4"/>
        <v>30</v>
      </c>
      <c r="D127">
        <f t="shared" si="6"/>
        <v>30</v>
      </c>
      <c r="E127" t="str">
        <f t="shared" si="5"/>
        <v>czerwiec</v>
      </c>
    </row>
    <row r="128" spans="1:5" x14ac:dyDescent="0.25">
      <c r="A128" s="1">
        <v>41121</v>
      </c>
      <c r="B128">
        <v>21536</v>
      </c>
      <c r="C128">
        <f t="shared" si="4"/>
        <v>31</v>
      </c>
      <c r="D128">
        <f t="shared" si="6"/>
        <v>19</v>
      </c>
      <c r="E128" t="str">
        <f t="shared" si="5"/>
        <v>lipiec</v>
      </c>
    </row>
    <row r="129" spans="1:5" x14ac:dyDescent="0.25">
      <c r="A129" s="1">
        <v>41152</v>
      </c>
      <c r="B129">
        <v>21550</v>
      </c>
      <c r="C129">
        <f t="shared" si="4"/>
        <v>31</v>
      </c>
      <c r="D129">
        <f t="shared" si="6"/>
        <v>14</v>
      </c>
      <c r="E129" t="str">
        <f t="shared" si="5"/>
        <v>sierpień</v>
      </c>
    </row>
    <row r="130" spans="1:5" x14ac:dyDescent="0.25">
      <c r="A130" s="1">
        <v>41182</v>
      </c>
      <c r="B130">
        <v>21695</v>
      </c>
      <c r="C130">
        <f t="shared" si="4"/>
        <v>30</v>
      </c>
      <c r="D130">
        <f t="shared" si="6"/>
        <v>145</v>
      </c>
      <c r="E130" t="str">
        <f t="shared" si="5"/>
        <v>wrzesień</v>
      </c>
    </row>
    <row r="131" spans="1:5" x14ac:dyDescent="0.25">
      <c r="A131" s="1">
        <v>41213</v>
      </c>
      <c r="B131">
        <v>21878</v>
      </c>
      <c r="C131">
        <f t="shared" ref="C131:C194" si="7">DAY(A131)</f>
        <v>31</v>
      </c>
      <c r="D131">
        <f t="shared" si="6"/>
        <v>183</v>
      </c>
      <c r="E131" t="str">
        <f t="shared" ref="E131:E194" si="8">TEXT(A131,"mmmm")</f>
        <v>październik</v>
      </c>
    </row>
    <row r="132" spans="1:5" x14ac:dyDescent="0.25">
      <c r="A132" s="1">
        <v>41243</v>
      </c>
      <c r="B132">
        <v>22208</v>
      </c>
      <c r="C132">
        <f t="shared" si="7"/>
        <v>30</v>
      </c>
      <c r="D132">
        <f t="shared" ref="D132:D195" si="9">(B132-B131)</f>
        <v>330</v>
      </c>
      <c r="E132" t="str">
        <f t="shared" si="8"/>
        <v>listopad</v>
      </c>
    </row>
    <row r="133" spans="1:5" x14ac:dyDescent="0.25">
      <c r="A133" s="1">
        <v>41274</v>
      </c>
      <c r="B133">
        <v>22516</v>
      </c>
      <c r="C133">
        <f t="shared" si="7"/>
        <v>31</v>
      </c>
      <c r="D133">
        <f t="shared" si="9"/>
        <v>308</v>
      </c>
      <c r="E133" t="str">
        <f t="shared" si="8"/>
        <v>grudzień</v>
      </c>
    </row>
    <row r="134" spans="1:5" x14ac:dyDescent="0.25">
      <c r="A134" s="1">
        <v>41305</v>
      </c>
      <c r="B134">
        <v>22811</v>
      </c>
      <c r="C134">
        <f t="shared" si="7"/>
        <v>31</v>
      </c>
      <c r="D134">
        <f t="shared" si="9"/>
        <v>295</v>
      </c>
      <c r="E134" t="str">
        <f t="shared" si="8"/>
        <v>styczeń</v>
      </c>
    </row>
    <row r="135" spans="1:5" x14ac:dyDescent="0.25">
      <c r="A135" s="3">
        <v>41333</v>
      </c>
      <c r="B135">
        <v>23173</v>
      </c>
      <c r="C135">
        <f t="shared" si="7"/>
        <v>28</v>
      </c>
      <c r="D135">
        <f t="shared" si="9"/>
        <v>362</v>
      </c>
      <c r="E135" t="str">
        <f t="shared" si="8"/>
        <v>luty</v>
      </c>
    </row>
    <row r="136" spans="1:5" x14ac:dyDescent="0.25">
      <c r="A136" s="1">
        <v>41364</v>
      </c>
      <c r="B136">
        <v>23392</v>
      </c>
      <c r="C136">
        <f t="shared" si="7"/>
        <v>31</v>
      </c>
      <c r="D136">
        <f t="shared" si="9"/>
        <v>219</v>
      </c>
      <c r="E136" t="str">
        <f t="shared" si="8"/>
        <v>marzec</v>
      </c>
    </row>
    <row r="137" spans="1:5" x14ac:dyDescent="0.25">
      <c r="A137" s="1">
        <v>41394</v>
      </c>
      <c r="B137">
        <v>23533</v>
      </c>
      <c r="C137">
        <f t="shared" si="7"/>
        <v>30</v>
      </c>
      <c r="D137">
        <f t="shared" si="9"/>
        <v>141</v>
      </c>
      <c r="E137" t="str">
        <f t="shared" si="8"/>
        <v>kwiecień</v>
      </c>
    </row>
    <row r="138" spans="1:5" x14ac:dyDescent="0.25">
      <c r="A138" s="1">
        <v>41425</v>
      </c>
      <c r="B138">
        <v>23699</v>
      </c>
      <c r="C138">
        <f t="shared" si="7"/>
        <v>31</v>
      </c>
      <c r="D138">
        <f t="shared" si="9"/>
        <v>166</v>
      </c>
      <c r="E138" t="str">
        <f t="shared" si="8"/>
        <v>maj</v>
      </c>
    </row>
    <row r="139" spans="1:5" x14ac:dyDescent="0.25">
      <c r="A139" s="1">
        <v>41455</v>
      </c>
      <c r="B139">
        <v>23793</v>
      </c>
      <c r="C139">
        <f t="shared" si="7"/>
        <v>30</v>
      </c>
      <c r="D139">
        <f t="shared" si="9"/>
        <v>94</v>
      </c>
      <c r="E139" t="str">
        <f t="shared" si="8"/>
        <v>czerwiec</v>
      </c>
    </row>
    <row r="140" spans="1:5" x14ac:dyDescent="0.25">
      <c r="A140" s="1">
        <v>41486</v>
      </c>
      <c r="B140">
        <v>23809</v>
      </c>
      <c r="C140">
        <f t="shared" si="7"/>
        <v>31</v>
      </c>
      <c r="D140">
        <f t="shared" si="9"/>
        <v>16</v>
      </c>
      <c r="E140" t="str">
        <f t="shared" si="8"/>
        <v>lipiec</v>
      </c>
    </row>
    <row r="141" spans="1:5" x14ac:dyDescent="0.25">
      <c r="A141" s="1">
        <v>41517</v>
      </c>
      <c r="B141">
        <v>23825</v>
      </c>
      <c r="C141">
        <f t="shared" si="7"/>
        <v>31</v>
      </c>
      <c r="D141">
        <f t="shared" si="9"/>
        <v>16</v>
      </c>
      <c r="E141" t="str">
        <f t="shared" si="8"/>
        <v>sierpień</v>
      </c>
    </row>
    <row r="142" spans="1:5" x14ac:dyDescent="0.25">
      <c r="A142" s="1">
        <v>41547</v>
      </c>
      <c r="B142">
        <v>23902</v>
      </c>
      <c r="C142">
        <f t="shared" si="7"/>
        <v>30</v>
      </c>
      <c r="D142">
        <f t="shared" si="9"/>
        <v>77</v>
      </c>
      <c r="E142" t="str">
        <f t="shared" si="8"/>
        <v>wrzesień</v>
      </c>
    </row>
    <row r="143" spans="1:5" x14ac:dyDescent="0.25">
      <c r="A143" s="1">
        <v>41578</v>
      </c>
      <c r="B143">
        <v>24028</v>
      </c>
      <c r="C143">
        <f t="shared" si="7"/>
        <v>31</v>
      </c>
      <c r="D143">
        <f t="shared" si="9"/>
        <v>126</v>
      </c>
      <c r="E143" t="str">
        <f t="shared" si="8"/>
        <v>październik</v>
      </c>
    </row>
    <row r="144" spans="1:5" x14ac:dyDescent="0.25">
      <c r="A144" s="1">
        <v>41608</v>
      </c>
      <c r="B144">
        <v>24158</v>
      </c>
      <c r="C144">
        <f t="shared" si="7"/>
        <v>30</v>
      </c>
      <c r="D144">
        <f t="shared" si="9"/>
        <v>130</v>
      </c>
      <c r="E144" t="str">
        <f t="shared" si="8"/>
        <v>listopad</v>
      </c>
    </row>
    <row r="145" spans="1:5" x14ac:dyDescent="0.25">
      <c r="A145" s="1">
        <v>41639</v>
      </c>
      <c r="B145">
        <v>24390</v>
      </c>
      <c r="C145">
        <f t="shared" si="7"/>
        <v>31</v>
      </c>
      <c r="D145">
        <f t="shared" si="9"/>
        <v>232</v>
      </c>
      <c r="E145" t="str">
        <f t="shared" si="8"/>
        <v>grudzień</v>
      </c>
    </row>
    <row r="146" spans="1:5" x14ac:dyDescent="0.25">
      <c r="A146" s="1">
        <v>41670</v>
      </c>
      <c r="B146">
        <v>24707</v>
      </c>
      <c r="C146">
        <f t="shared" si="7"/>
        <v>31</v>
      </c>
      <c r="D146">
        <f t="shared" si="9"/>
        <v>317</v>
      </c>
      <c r="E146" t="str">
        <f t="shared" si="8"/>
        <v>styczeń</v>
      </c>
    </row>
    <row r="147" spans="1:5" x14ac:dyDescent="0.25">
      <c r="A147" s="1">
        <v>41698</v>
      </c>
      <c r="B147">
        <v>25040</v>
      </c>
      <c r="C147">
        <f t="shared" si="7"/>
        <v>28</v>
      </c>
      <c r="D147">
        <f t="shared" si="9"/>
        <v>333</v>
      </c>
      <c r="E147" t="str">
        <f t="shared" si="8"/>
        <v>luty</v>
      </c>
    </row>
    <row r="148" spans="1:5" x14ac:dyDescent="0.25">
      <c r="A148" s="1">
        <v>41729</v>
      </c>
      <c r="B148">
        <v>25284</v>
      </c>
      <c r="C148">
        <f t="shared" si="7"/>
        <v>31</v>
      </c>
      <c r="D148">
        <f t="shared" si="9"/>
        <v>244</v>
      </c>
      <c r="E148" t="str">
        <f t="shared" si="8"/>
        <v>marzec</v>
      </c>
    </row>
    <row r="149" spans="1:5" x14ac:dyDescent="0.25">
      <c r="A149" s="1">
        <v>41759</v>
      </c>
      <c r="B149">
        <v>25403</v>
      </c>
      <c r="C149">
        <f t="shared" si="7"/>
        <v>30</v>
      </c>
      <c r="D149">
        <f t="shared" si="9"/>
        <v>119</v>
      </c>
      <c r="E149" t="str">
        <f t="shared" si="8"/>
        <v>kwiecień</v>
      </c>
    </row>
    <row r="150" spans="1:5" x14ac:dyDescent="0.25">
      <c r="A150" s="1">
        <v>41790</v>
      </c>
      <c r="B150">
        <v>25508</v>
      </c>
      <c r="C150">
        <f t="shared" si="7"/>
        <v>31</v>
      </c>
      <c r="D150">
        <f t="shared" si="9"/>
        <v>105</v>
      </c>
      <c r="E150" t="str">
        <f t="shared" si="8"/>
        <v>maj</v>
      </c>
    </row>
    <row r="151" spans="1:5" x14ac:dyDescent="0.25">
      <c r="A151" s="1">
        <v>41820</v>
      </c>
      <c r="B151">
        <v>25537</v>
      </c>
      <c r="C151">
        <f t="shared" si="7"/>
        <v>30</v>
      </c>
      <c r="D151">
        <f t="shared" si="9"/>
        <v>29</v>
      </c>
      <c r="E151" t="str">
        <f t="shared" si="8"/>
        <v>czerwiec</v>
      </c>
    </row>
    <row r="152" spans="1:5" x14ac:dyDescent="0.25">
      <c r="A152" s="1">
        <v>41851</v>
      </c>
      <c r="B152">
        <v>25556</v>
      </c>
      <c r="C152">
        <f t="shared" si="7"/>
        <v>31</v>
      </c>
      <c r="D152">
        <f t="shared" si="9"/>
        <v>19</v>
      </c>
      <c r="E152" t="str">
        <f t="shared" si="8"/>
        <v>lipiec</v>
      </c>
    </row>
    <row r="153" spans="1:5" x14ac:dyDescent="0.25">
      <c r="A153" s="1">
        <v>41882</v>
      </c>
      <c r="B153">
        <v>25569</v>
      </c>
      <c r="C153">
        <f t="shared" si="7"/>
        <v>31</v>
      </c>
      <c r="D153">
        <f t="shared" si="9"/>
        <v>13</v>
      </c>
      <c r="E153" t="str">
        <f t="shared" si="8"/>
        <v>sierpień</v>
      </c>
    </row>
    <row r="154" spans="1:5" x14ac:dyDescent="0.25">
      <c r="A154" s="1">
        <v>41912</v>
      </c>
      <c r="B154">
        <v>25708</v>
      </c>
      <c r="C154">
        <f t="shared" si="7"/>
        <v>30</v>
      </c>
      <c r="D154">
        <f t="shared" si="9"/>
        <v>139</v>
      </c>
      <c r="E154" t="str">
        <f t="shared" si="8"/>
        <v>wrzesień</v>
      </c>
    </row>
    <row r="155" spans="1:5" x14ac:dyDescent="0.25">
      <c r="A155" s="1">
        <v>41943</v>
      </c>
      <c r="B155">
        <v>25883</v>
      </c>
      <c r="C155">
        <f t="shared" si="7"/>
        <v>31</v>
      </c>
      <c r="D155">
        <f t="shared" si="9"/>
        <v>175</v>
      </c>
      <c r="E155" t="str">
        <f t="shared" si="8"/>
        <v>październik</v>
      </c>
    </row>
    <row r="156" spans="1:5" x14ac:dyDescent="0.25">
      <c r="A156" s="1">
        <v>41973</v>
      </c>
      <c r="B156">
        <v>26183</v>
      </c>
      <c r="C156">
        <f t="shared" si="7"/>
        <v>30</v>
      </c>
      <c r="D156">
        <f t="shared" si="9"/>
        <v>300</v>
      </c>
      <c r="E156" t="str">
        <f t="shared" si="8"/>
        <v>listopad</v>
      </c>
    </row>
    <row r="157" spans="1:5" x14ac:dyDescent="0.25">
      <c r="A157" s="1">
        <v>42004</v>
      </c>
      <c r="B157">
        <v>26478</v>
      </c>
      <c r="C157">
        <f t="shared" si="7"/>
        <v>31</v>
      </c>
      <c r="D157">
        <f t="shared" si="9"/>
        <v>295</v>
      </c>
      <c r="E157" t="str">
        <f t="shared" si="8"/>
        <v>grudzień</v>
      </c>
    </row>
    <row r="158" spans="1:5" x14ac:dyDescent="0.25">
      <c r="A158" s="1">
        <v>42035</v>
      </c>
      <c r="B158">
        <v>26808</v>
      </c>
      <c r="C158">
        <f t="shared" si="7"/>
        <v>31</v>
      </c>
      <c r="D158">
        <f t="shared" si="9"/>
        <v>330</v>
      </c>
      <c r="E158" t="str">
        <f t="shared" si="8"/>
        <v>styczeń</v>
      </c>
    </row>
    <row r="159" spans="1:5" x14ac:dyDescent="0.25">
      <c r="A159" s="3">
        <v>42063</v>
      </c>
      <c r="B159">
        <v>27156</v>
      </c>
      <c r="C159">
        <f t="shared" si="7"/>
        <v>28</v>
      </c>
      <c r="D159">
        <f t="shared" si="9"/>
        <v>348</v>
      </c>
      <c r="E159" t="str">
        <f t="shared" si="8"/>
        <v>luty</v>
      </c>
    </row>
    <row r="160" spans="1:5" x14ac:dyDescent="0.25">
      <c r="A160" s="1">
        <v>42094</v>
      </c>
      <c r="B160">
        <v>27366</v>
      </c>
      <c r="C160">
        <f t="shared" si="7"/>
        <v>31</v>
      </c>
      <c r="D160">
        <f t="shared" si="9"/>
        <v>210</v>
      </c>
      <c r="E160" t="str">
        <f t="shared" si="8"/>
        <v>marzec</v>
      </c>
    </row>
    <row r="161" spans="1:5" x14ac:dyDescent="0.25">
      <c r="A161" s="1">
        <v>42124</v>
      </c>
      <c r="B161">
        <v>27501</v>
      </c>
      <c r="C161">
        <f t="shared" si="7"/>
        <v>30</v>
      </c>
      <c r="D161">
        <f t="shared" si="9"/>
        <v>135</v>
      </c>
      <c r="E161" t="str">
        <f t="shared" si="8"/>
        <v>kwiecień</v>
      </c>
    </row>
    <row r="162" spans="1:5" x14ac:dyDescent="0.25">
      <c r="A162" s="1">
        <v>42155</v>
      </c>
      <c r="B162">
        <v>27661</v>
      </c>
      <c r="C162">
        <f t="shared" si="7"/>
        <v>31</v>
      </c>
      <c r="D162">
        <f t="shared" si="9"/>
        <v>160</v>
      </c>
      <c r="E162" t="str">
        <f t="shared" si="8"/>
        <v>maj</v>
      </c>
    </row>
    <row r="163" spans="1:5" x14ac:dyDescent="0.25">
      <c r="A163" s="1">
        <v>42185</v>
      </c>
      <c r="B163">
        <v>27752</v>
      </c>
      <c r="C163">
        <f t="shared" si="7"/>
        <v>30</v>
      </c>
      <c r="D163">
        <f t="shared" si="9"/>
        <v>91</v>
      </c>
      <c r="E163" t="str">
        <f t="shared" si="8"/>
        <v>czerwiec</v>
      </c>
    </row>
    <row r="164" spans="1:5" x14ac:dyDescent="0.25">
      <c r="A164" s="1">
        <v>42216</v>
      </c>
      <c r="B164">
        <v>27767</v>
      </c>
      <c r="C164">
        <f t="shared" si="7"/>
        <v>31</v>
      </c>
      <c r="D164">
        <f t="shared" si="9"/>
        <v>15</v>
      </c>
      <c r="E164" t="str">
        <f t="shared" si="8"/>
        <v>lipiec</v>
      </c>
    </row>
    <row r="165" spans="1:5" x14ac:dyDescent="0.25">
      <c r="A165" s="1">
        <v>42247</v>
      </c>
      <c r="B165">
        <v>27783</v>
      </c>
      <c r="C165">
        <f t="shared" si="7"/>
        <v>31</v>
      </c>
      <c r="D165">
        <f t="shared" si="9"/>
        <v>16</v>
      </c>
      <c r="E165" t="str">
        <f t="shared" si="8"/>
        <v>sierpień</v>
      </c>
    </row>
    <row r="166" spans="1:5" x14ac:dyDescent="0.25">
      <c r="A166" s="1">
        <v>42277</v>
      </c>
      <c r="B166">
        <v>27857</v>
      </c>
      <c r="C166">
        <f t="shared" si="7"/>
        <v>30</v>
      </c>
      <c r="D166">
        <f t="shared" si="9"/>
        <v>74</v>
      </c>
      <c r="E166" t="str">
        <f t="shared" si="8"/>
        <v>wrzesień</v>
      </c>
    </row>
    <row r="167" spans="1:5" x14ac:dyDescent="0.25">
      <c r="A167" s="1">
        <v>42308</v>
      </c>
      <c r="B167">
        <v>27978</v>
      </c>
      <c r="C167">
        <f t="shared" si="7"/>
        <v>31</v>
      </c>
      <c r="D167">
        <f t="shared" si="9"/>
        <v>121</v>
      </c>
      <c r="E167" t="str">
        <f t="shared" si="8"/>
        <v>październik</v>
      </c>
    </row>
    <row r="168" spans="1:5" x14ac:dyDescent="0.25">
      <c r="A168" s="1">
        <v>42338</v>
      </c>
      <c r="B168">
        <v>28103</v>
      </c>
      <c r="C168">
        <f t="shared" si="7"/>
        <v>30</v>
      </c>
      <c r="D168">
        <f t="shared" si="9"/>
        <v>125</v>
      </c>
      <c r="E168" t="str">
        <f t="shared" si="8"/>
        <v>listopad</v>
      </c>
    </row>
    <row r="169" spans="1:5" x14ac:dyDescent="0.25">
      <c r="A169" s="1">
        <v>42369</v>
      </c>
      <c r="B169">
        <v>28326</v>
      </c>
      <c r="C169">
        <f t="shared" si="7"/>
        <v>31</v>
      </c>
      <c r="D169">
        <f t="shared" si="9"/>
        <v>223</v>
      </c>
      <c r="E169" t="str">
        <f t="shared" si="8"/>
        <v>grudzień</v>
      </c>
    </row>
    <row r="170" spans="1:5" x14ac:dyDescent="0.25">
      <c r="A170" s="1">
        <v>42400</v>
      </c>
      <c r="B170">
        <v>28631</v>
      </c>
      <c r="C170">
        <f t="shared" si="7"/>
        <v>31</v>
      </c>
      <c r="D170">
        <f t="shared" si="9"/>
        <v>305</v>
      </c>
      <c r="E170" t="str">
        <f t="shared" si="8"/>
        <v>styczeń</v>
      </c>
    </row>
    <row r="171" spans="1:5" x14ac:dyDescent="0.25">
      <c r="A171" s="1">
        <v>42428</v>
      </c>
      <c r="B171">
        <v>28931</v>
      </c>
      <c r="C171">
        <f t="shared" si="7"/>
        <v>28</v>
      </c>
      <c r="D171">
        <f t="shared" si="9"/>
        <v>300</v>
      </c>
      <c r="E171" t="str">
        <f t="shared" si="8"/>
        <v>luty</v>
      </c>
    </row>
    <row r="172" spans="1:5" x14ac:dyDescent="0.25">
      <c r="A172" s="1">
        <v>42460</v>
      </c>
      <c r="B172">
        <v>29165</v>
      </c>
      <c r="C172">
        <f t="shared" si="7"/>
        <v>31</v>
      </c>
      <c r="D172">
        <f t="shared" si="9"/>
        <v>234</v>
      </c>
      <c r="E172" t="str">
        <f t="shared" si="8"/>
        <v>marzec</v>
      </c>
    </row>
    <row r="173" spans="1:5" x14ac:dyDescent="0.25">
      <c r="A173" s="1">
        <v>42490</v>
      </c>
      <c r="B173">
        <v>29279</v>
      </c>
      <c r="C173">
        <f t="shared" si="7"/>
        <v>30</v>
      </c>
      <c r="D173">
        <f t="shared" si="9"/>
        <v>114</v>
      </c>
      <c r="E173" t="str">
        <f t="shared" si="8"/>
        <v>kwiecień</v>
      </c>
    </row>
    <row r="174" spans="1:5" x14ac:dyDescent="0.25">
      <c r="A174" s="1">
        <v>42521</v>
      </c>
      <c r="B174">
        <v>29381</v>
      </c>
      <c r="C174">
        <f t="shared" si="7"/>
        <v>31</v>
      </c>
      <c r="D174">
        <f t="shared" si="9"/>
        <v>102</v>
      </c>
      <c r="E174" t="str">
        <f t="shared" si="8"/>
        <v>maj</v>
      </c>
    </row>
    <row r="175" spans="1:5" x14ac:dyDescent="0.25">
      <c r="A175" s="1">
        <v>42551</v>
      </c>
      <c r="B175">
        <v>29409</v>
      </c>
      <c r="C175">
        <f t="shared" si="7"/>
        <v>30</v>
      </c>
      <c r="D175">
        <f t="shared" si="9"/>
        <v>28</v>
      </c>
      <c r="E175" t="str">
        <f t="shared" si="8"/>
        <v>czerwiec</v>
      </c>
    </row>
    <row r="176" spans="1:5" x14ac:dyDescent="0.25">
      <c r="A176" s="1">
        <v>42582</v>
      </c>
      <c r="B176">
        <v>29427</v>
      </c>
      <c r="C176">
        <f t="shared" si="7"/>
        <v>31</v>
      </c>
      <c r="D176">
        <f t="shared" si="9"/>
        <v>18</v>
      </c>
      <c r="E176" t="str">
        <f t="shared" si="8"/>
        <v>lipiec</v>
      </c>
    </row>
    <row r="177" spans="1:5" x14ac:dyDescent="0.25">
      <c r="A177" s="1">
        <v>42613</v>
      </c>
      <c r="B177">
        <v>29440</v>
      </c>
      <c r="C177">
        <f t="shared" si="7"/>
        <v>31</v>
      </c>
      <c r="D177">
        <f t="shared" si="9"/>
        <v>13</v>
      </c>
      <c r="E177" t="str">
        <f t="shared" si="8"/>
        <v>sierpień</v>
      </c>
    </row>
    <row r="178" spans="1:5" x14ac:dyDescent="0.25">
      <c r="A178" s="1">
        <v>42643</v>
      </c>
      <c r="B178">
        <v>29574</v>
      </c>
      <c r="C178">
        <f t="shared" si="7"/>
        <v>30</v>
      </c>
      <c r="D178">
        <f t="shared" si="9"/>
        <v>134</v>
      </c>
      <c r="E178" t="str">
        <f t="shared" si="8"/>
        <v>wrzesień</v>
      </c>
    </row>
    <row r="179" spans="1:5" x14ac:dyDescent="0.25">
      <c r="A179" s="1">
        <v>42674</v>
      </c>
      <c r="B179">
        <v>29743</v>
      </c>
      <c r="C179">
        <f t="shared" si="7"/>
        <v>31</v>
      </c>
      <c r="D179">
        <f t="shared" si="9"/>
        <v>169</v>
      </c>
      <c r="E179" t="str">
        <f t="shared" si="8"/>
        <v>październik</v>
      </c>
    </row>
    <row r="180" spans="1:5" x14ac:dyDescent="0.25">
      <c r="A180" s="1">
        <v>42704</v>
      </c>
      <c r="B180">
        <v>30031</v>
      </c>
      <c r="C180">
        <f t="shared" si="7"/>
        <v>30</v>
      </c>
      <c r="D180">
        <f t="shared" si="9"/>
        <v>288</v>
      </c>
      <c r="E180" t="str">
        <f t="shared" si="8"/>
        <v>listopad</v>
      </c>
    </row>
    <row r="181" spans="1:5" x14ac:dyDescent="0.25">
      <c r="A181" s="1">
        <v>42735</v>
      </c>
      <c r="B181">
        <v>30314</v>
      </c>
      <c r="C181">
        <f t="shared" si="7"/>
        <v>31</v>
      </c>
      <c r="D181">
        <f t="shared" si="9"/>
        <v>283</v>
      </c>
      <c r="E181" t="str">
        <f t="shared" si="8"/>
        <v>grudzień</v>
      </c>
    </row>
    <row r="182" spans="1:5" x14ac:dyDescent="0.25">
      <c r="A182" s="1">
        <v>42766</v>
      </c>
      <c r="B182">
        <v>30630</v>
      </c>
      <c r="C182">
        <f t="shared" si="7"/>
        <v>31</v>
      </c>
      <c r="D182">
        <f t="shared" si="9"/>
        <v>316</v>
      </c>
      <c r="E182" t="str">
        <f t="shared" si="8"/>
        <v>styczeń</v>
      </c>
    </row>
    <row r="183" spans="1:5" x14ac:dyDescent="0.25">
      <c r="A183" s="1">
        <v>42794</v>
      </c>
      <c r="B183">
        <v>30964</v>
      </c>
      <c r="C183">
        <f t="shared" si="7"/>
        <v>28</v>
      </c>
      <c r="D183">
        <f t="shared" si="9"/>
        <v>334</v>
      </c>
      <c r="E183" t="str">
        <f t="shared" si="8"/>
        <v>luty</v>
      </c>
    </row>
    <row r="184" spans="1:5" x14ac:dyDescent="0.25">
      <c r="A184" s="1">
        <v>42825</v>
      </c>
      <c r="B184">
        <v>31166</v>
      </c>
      <c r="C184">
        <f t="shared" si="7"/>
        <v>31</v>
      </c>
      <c r="D184">
        <f t="shared" si="9"/>
        <v>202</v>
      </c>
      <c r="E184" t="str">
        <f t="shared" si="8"/>
        <v>marzec</v>
      </c>
    </row>
    <row r="185" spans="1:5" x14ac:dyDescent="0.25">
      <c r="A185" s="1">
        <v>42855</v>
      </c>
      <c r="B185">
        <v>31296</v>
      </c>
      <c r="C185">
        <f t="shared" si="7"/>
        <v>30</v>
      </c>
      <c r="D185">
        <f t="shared" si="9"/>
        <v>130</v>
      </c>
      <c r="E185" t="str">
        <f t="shared" si="8"/>
        <v>kwiecień</v>
      </c>
    </row>
    <row r="186" spans="1:5" x14ac:dyDescent="0.25">
      <c r="A186" s="1">
        <v>42886</v>
      </c>
      <c r="B186">
        <v>31449</v>
      </c>
      <c r="C186">
        <f t="shared" si="7"/>
        <v>31</v>
      </c>
      <c r="D186">
        <f t="shared" si="9"/>
        <v>153</v>
      </c>
      <c r="E186" t="str">
        <f t="shared" si="8"/>
        <v>maj</v>
      </c>
    </row>
    <row r="187" spans="1:5" x14ac:dyDescent="0.25">
      <c r="A187" s="1">
        <v>42916</v>
      </c>
      <c r="B187">
        <v>31535</v>
      </c>
      <c r="C187">
        <f t="shared" si="7"/>
        <v>30</v>
      </c>
      <c r="D187">
        <f t="shared" si="9"/>
        <v>86</v>
      </c>
      <c r="E187" t="str">
        <f t="shared" si="8"/>
        <v>czerwiec</v>
      </c>
    </row>
    <row r="188" spans="1:5" x14ac:dyDescent="0.25">
      <c r="A188" s="1">
        <v>42947</v>
      </c>
      <c r="B188">
        <v>31550</v>
      </c>
      <c r="C188">
        <f t="shared" si="7"/>
        <v>31</v>
      </c>
      <c r="D188">
        <f t="shared" si="9"/>
        <v>15</v>
      </c>
      <c r="E188" t="str">
        <f t="shared" si="8"/>
        <v>lipiec</v>
      </c>
    </row>
    <row r="189" spans="1:5" x14ac:dyDescent="0.25">
      <c r="A189" s="1">
        <v>42978</v>
      </c>
      <c r="B189">
        <v>31565</v>
      </c>
      <c r="C189">
        <f t="shared" si="7"/>
        <v>31</v>
      </c>
      <c r="D189">
        <f t="shared" si="9"/>
        <v>15</v>
      </c>
      <c r="E189" t="str">
        <f t="shared" si="8"/>
        <v>sierpień</v>
      </c>
    </row>
    <row r="190" spans="1:5" x14ac:dyDescent="0.25">
      <c r="A190" s="1">
        <v>43008</v>
      </c>
      <c r="B190">
        <v>31635</v>
      </c>
      <c r="C190">
        <f t="shared" si="7"/>
        <v>30</v>
      </c>
      <c r="D190">
        <f t="shared" si="9"/>
        <v>70</v>
      </c>
      <c r="E190" t="str">
        <f t="shared" si="8"/>
        <v>wrzesień</v>
      </c>
    </row>
    <row r="191" spans="1:5" x14ac:dyDescent="0.25">
      <c r="A191" s="1">
        <v>43039</v>
      </c>
      <c r="B191">
        <v>31751</v>
      </c>
      <c r="C191">
        <f t="shared" si="7"/>
        <v>31</v>
      </c>
      <c r="D191">
        <f t="shared" si="9"/>
        <v>116</v>
      </c>
      <c r="E191" t="str">
        <f t="shared" si="8"/>
        <v>październik</v>
      </c>
    </row>
    <row r="192" spans="1:5" x14ac:dyDescent="0.25">
      <c r="A192" s="1">
        <v>43069</v>
      </c>
      <c r="B192">
        <v>31871</v>
      </c>
      <c r="C192">
        <f t="shared" si="7"/>
        <v>30</v>
      </c>
      <c r="D192">
        <f t="shared" si="9"/>
        <v>120</v>
      </c>
      <c r="E192" t="str">
        <f t="shared" si="8"/>
        <v>listopad</v>
      </c>
    </row>
    <row r="193" spans="1:5" x14ac:dyDescent="0.25">
      <c r="A193" s="1">
        <v>43100</v>
      </c>
      <c r="B193">
        <v>32085</v>
      </c>
      <c r="C193">
        <f t="shared" si="7"/>
        <v>31</v>
      </c>
      <c r="D193">
        <f t="shared" si="9"/>
        <v>214</v>
      </c>
      <c r="E193" t="str">
        <f t="shared" si="8"/>
        <v>grudzień</v>
      </c>
    </row>
    <row r="194" spans="1:5" x14ac:dyDescent="0.25">
      <c r="A194" s="1">
        <v>43131</v>
      </c>
      <c r="B194">
        <v>32376</v>
      </c>
      <c r="C194">
        <f t="shared" si="7"/>
        <v>31</v>
      </c>
      <c r="D194">
        <f t="shared" si="9"/>
        <v>291</v>
      </c>
      <c r="E194" t="str">
        <f t="shared" si="8"/>
        <v>styczeń</v>
      </c>
    </row>
    <row r="195" spans="1:5" x14ac:dyDescent="0.25">
      <c r="A195" s="1">
        <v>43159</v>
      </c>
      <c r="B195">
        <v>32621</v>
      </c>
      <c r="C195">
        <f t="shared" ref="C195:C205" si="10">DAY(A195)</f>
        <v>28</v>
      </c>
      <c r="D195">
        <f t="shared" si="9"/>
        <v>245</v>
      </c>
      <c r="E195" t="str">
        <f t="shared" ref="E195:E205" si="11">TEXT(A195,"mmmm")</f>
        <v>luty</v>
      </c>
    </row>
    <row r="196" spans="1:5" x14ac:dyDescent="0.25">
      <c r="A196" s="1">
        <v>43190</v>
      </c>
      <c r="B196">
        <v>32846</v>
      </c>
      <c r="C196">
        <f t="shared" si="10"/>
        <v>31</v>
      </c>
      <c r="D196">
        <f t="shared" ref="D196:D205" si="12">(B196-B195)</f>
        <v>225</v>
      </c>
      <c r="E196" t="str">
        <f t="shared" si="11"/>
        <v>marzec</v>
      </c>
    </row>
    <row r="197" spans="1:5" x14ac:dyDescent="0.25">
      <c r="A197" s="1">
        <v>43220</v>
      </c>
      <c r="B197">
        <v>32955</v>
      </c>
      <c r="C197">
        <f t="shared" si="10"/>
        <v>30</v>
      </c>
      <c r="D197">
        <f t="shared" si="12"/>
        <v>109</v>
      </c>
      <c r="E197" t="str">
        <f t="shared" si="11"/>
        <v>kwiecień</v>
      </c>
    </row>
    <row r="198" spans="1:5" x14ac:dyDescent="0.25">
      <c r="A198" s="1">
        <v>43251</v>
      </c>
      <c r="B198">
        <v>33003</v>
      </c>
      <c r="C198">
        <f t="shared" si="10"/>
        <v>31</v>
      </c>
      <c r="D198">
        <f t="shared" si="12"/>
        <v>48</v>
      </c>
      <c r="E198" t="str">
        <f t="shared" si="11"/>
        <v>maj</v>
      </c>
    </row>
    <row r="199" spans="1:5" x14ac:dyDescent="0.25">
      <c r="A199" s="1">
        <v>43281</v>
      </c>
      <c r="B199">
        <v>33030</v>
      </c>
      <c r="C199">
        <f t="shared" si="10"/>
        <v>30</v>
      </c>
      <c r="D199">
        <f t="shared" si="12"/>
        <v>27</v>
      </c>
      <c r="E199" t="str">
        <f t="shared" si="11"/>
        <v>czerwiec</v>
      </c>
    </row>
    <row r="200" spans="1:5" x14ac:dyDescent="0.25">
      <c r="A200" s="1">
        <v>43312</v>
      </c>
      <c r="B200">
        <v>33046</v>
      </c>
      <c r="C200">
        <f t="shared" si="10"/>
        <v>31</v>
      </c>
      <c r="D200">
        <f t="shared" si="12"/>
        <v>16</v>
      </c>
      <c r="E200" t="str">
        <f t="shared" si="11"/>
        <v>lipiec</v>
      </c>
    </row>
    <row r="201" spans="1:5" x14ac:dyDescent="0.25">
      <c r="A201" s="1">
        <v>43343</v>
      </c>
      <c r="B201">
        <v>33058</v>
      </c>
      <c r="C201">
        <f t="shared" si="10"/>
        <v>31</v>
      </c>
      <c r="D201">
        <f t="shared" si="12"/>
        <v>12</v>
      </c>
      <c r="E201" t="str">
        <f t="shared" si="11"/>
        <v>sierpień</v>
      </c>
    </row>
    <row r="202" spans="1:5" x14ac:dyDescent="0.25">
      <c r="A202" s="1">
        <v>43373</v>
      </c>
      <c r="B202">
        <v>33186</v>
      </c>
      <c r="C202">
        <f t="shared" si="10"/>
        <v>30</v>
      </c>
      <c r="D202">
        <f t="shared" si="12"/>
        <v>128</v>
      </c>
      <c r="E202" t="str">
        <f t="shared" si="11"/>
        <v>wrzesień</v>
      </c>
    </row>
    <row r="203" spans="1:5" x14ac:dyDescent="0.25">
      <c r="A203" s="1">
        <v>43404</v>
      </c>
      <c r="B203">
        <v>33323</v>
      </c>
      <c r="C203">
        <f t="shared" si="10"/>
        <v>31</v>
      </c>
      <c r="D203">
        <f t="shared" si="12"/>
        <v>137</v>
      </c>
      <c r="E203" t="str">
        <f t="shared" si="11"/>
        <v>październik</v>
      </c>
    </row>
    <row r="204" spans="1:5" x14ac:dyDescent="0.25">
      <c r="A204" s="1">
        <v>43434</v>
      </c>
      <c r="B204">
        <v>33483</v>
      </c>
      <c r="C204">
        <f t="shared" si="10"/>
        <v>30</v>
      </c>
      <c r="D204">
        <f t="shared" si="12"/>
        <v>160</v>
      </c>
      <c r="E204" t="str">
        <f t="shared" si="11"/>
        <v>listopad</v>
      </c>
    </row>
    <row r="205" spans="1:5" x14ac:dyDescent="0.25">
      <c r="A205" s="1">
        <v>43465</v>
      </c>
      <c r="B205">
        <v>33734</v>
      </c>
      <c r="C205">
        <f t="shared" si="10"/>
        <v>31</v>
      </c>
      <c r="D205">
        <f t="shared" si="12"/>
        <v>251</v>
      </c>
      <c r="E205" t="str">
        <f t="shared" si="11"/>
        <v>grudzień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2</vt:i4>
      </vt:variant>
    </vt:vector>
  </HeadingPairs>
  <TitlesOfParts>
    <vt:vector size="4" baseType="lpstr">
      <vt:lpstr>11.1</vt:lpstr>
      <vt:lpstr>11.2</vt:lpstr>
      <vt:lpstr>'11.1'!gaz</vt:lpstr>
      <vt:lpstr>'11.2'!gaz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2026-03-10T10:48:31Z</dcterms:modified>
</cp:coreProperties>
</file>